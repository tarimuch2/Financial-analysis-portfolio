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tarimuch/Downloads/"/>
    </mc:Choice>
  </mc:AlternateContent>
  <xr:revisionPtr revIDLastSave="0" documentId="13_ncr:1_{D04CBE40-394D-CE4C-A3E9-F265E04AC830}" xr6:coauthVersionLast="47" xr6:coauthVersionMax="47" xr10:uidLastSave="{00000000-0000-0000-0000-000000000000}"/>
  <bookViews>
    <workbookView xWindow="0" yWindow="0" windowWidth="28800" windowHeight="18000" activeTab="3" xr2:uid="{B45CDD77-C395-497D-B7F1-15BB3DCAF8A6}"/>
  </bookViews>
  <sheets>
    <sheet name="1. Deal Overview" sheetId="1" r:id="rId1"/>
    <sheet name="2. Transaction Comps" sheetId="3" r:id="rId2"/>
    <sheet name="3. Synergy Analysis (can be ski" sheetId="4" r:id="rId3"/>
    <sheet name="4. Accretion-Dilution" sheetId="5" r:id="rId4"/>
    <sheet name="5. Football Field" sheetId="6" r:id="rId5"/>
    <sheet name="Style Guide" sheetId="2" r:id="rId6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6" i="3" l="1"/>
  <c r="G16" i="3"/>
  <c r="G12" i="3"/>
  <c r="C25" i="3" s="1"/>
  <c r="C75" i="5"/>
  <c r="C74" i="5"/>
  <c r="C39" i="4"/>
  <c r="C36" i="4"/>
  <c r="C35" i="4"/>
  <c r="C33" i="4"/>
  <c r="C32" i="4"/>
  <c r="E27" i="4"/>
  <c r="D27" i="4"/>
  <c r="C27" i="4"/>
  <c r="E26" i="4"/>
  <c r="D26" i="4"/>
  <c r="C26" i="4"/>
  <c r="E17" i="4"/>
  <c r="D17" i="4"/>
  <c r="C17" i="4"/>
  <c r="F15" i="4"/>
  <c r="F14" i="4"/>
  <c r="F13" i="4"/>
  <c r="F12" i="4"/>
  <c r="C62" i="6"/>
  <c r="E61" i="6"/>
  <c r="D61" i="6"/>
  <c r="C61" i="6"/>
  <c r="E60" i="6"/>
  <c r="D60" i="6"/>
  <c r="C60" i="6"/>
  <c r="D33" i="6"/>
  <c r="C33" i="6"/>
  <c r="D32" i="6"/>
  <c r="C32" i="6"/>
  <c r="D31" i="6"/>
  <c r="C31" i="6"/>
  <c r="D30" i="6"/>
  <c r="C30" i="6"/>
  <c r="D29" i="6"/>
  <c r="C29" i="6"/>
  <c r="H23" i="6"/>
  <c r="G23" i="6"/>
  <c r="H22" i="6"/>
  <c r="G22" i="6"/>
  <c r="F22" i="6"/>
  <c r="E22" i="6"/>
  <c r="H21" i="6"/>
  <c r="G21" i="6"/>
  <c r="F21" i="6"/>
  <c r="E21" i="6"/>
  <c r="C71" i="5"/>
  <c r="C51" i="5"/>
  <c r="C49" i="5"/>
  <c r="C48" i="5"/>
  <c r="C47" i="5"/>
  <c r="C46" i="5"/>
  <c r="C42" i="5"/>
  <c r="C41" i="5"/>
  <c r="C40" i="5"/>
  <c r="C38" i="5"/>
  <c r="C36" i="5"/>
  <c r="C34" i="5"/>
  <c r="C33" i="5"/>
  <c r="C28" i="5"/>
  <c r="C24" i="5"/>
  <c r="C23" i="5"/>
  <c r="C22" i="5"/>
  <c r="F16" i="5"/>
  <c r="C16" i="5"/>
  <c r="F14" i="5"/>
  <c r="C14" i="5"/>
  <c r="H15" i="3"/>
  <c r="G15" i="3"/>
  <c r="H14" i="3"/>
  <c r="G14" i="3"/>
  <c r="H13" i="3"/>
  <c r="G13" i="3"/>
  <c r="H12" i="3"/>
  <c r="D25" i="3" s="1"/>
  <c r="C21" i="5"/>
  <c r="D75" i="5" a="1"/>
  <c r="D75" i="5" s="1"/>
  <c r="D74" i="5" a="1"/>
  <c r="D74" i="5" s="1"/>
  <c r="C23" i="3" l="1"/>
  <c r="C26" i="3" s="1"/>
  <c r="D24" i="3"/>
  <c r="D23" i="3"/>
  <c r="D26" i="3" s="1"/>
  <c r="C2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<sst xmlns="http://schemas.openxmlformats.org/spreadsheetml/2006/main" count="364" uniqueCount="332">
  <si>
    <t>M&amp;A DEAL ANALYSIS</t>
  </si>
  <si>
    <t>TRANSACTION SUMMARY</t>
  </si>
  <si>
    <t>STRATEGIC RATIONALE</t>
  </si>
  <si>
    <t>Acquirer</t>
  </si>
  <si>
    <t>Key Thesis</t>
  </si>
  <si>
    <t>Target</t>
  </si>
  <si>
    <t>Target Revenue (2023)</t>
  </si>
  <si>
    <t>Announcement Date</t>
  </si>
  <si>
    <t>Target Employees</t>
  </si>
  <si>
    <t>Deal Type</t>
  </si>
  <si>
    <t>Key Brands</t>
  </si>
  <si>
    <t>Offer Price / Exchange Ratio</t>
  </si>
  <si>
    <t>Acquirer Revenue</t>
  </si>
  <si>
    <t>Total Enterprise Value</t>
  </si>
  <si>
    <t>Geographic Fit</t>
  </si>
  <si>
    <t>Premium (30-day VWAP)</t>
  </si>
  <si>
    <t>[X%]</t>
  </si>
  <si>
    <t>Category Entry</t>
  </si>
  <si>
    <t xml:space="preserve"> </t>
  </si>
  <si>
    <t>Premium (52-week high)</t>
  </si>
  <si>
    <t>Financing</t>
  </si>
  <si>
    <t>EV/EBITDA Multiple</t>
  </si>
  <si>
    <t>Expected Close</t>
  </si>
  <si>
    <t>📋 HOW TO USE THIS WORKBOOK</t>
  </si>
  <si>
    <t>This M&amp;A analysis template walks you through evaluating a deal like a junior analyst at an investment bank. Work through tabs 1→5 in order. Green cells = editable inputs. Yellow = guidance/tips. Each tab teaches a key M&amp;A concept!</t>
  </si>
  <si>
    <t>WORKBOOK NAVIGATION</t>
  </si>
  <si>
    <t>TAB</t>
  </si>
  <si>
    <t>PURPOSE</t>
  </si>
  <si>
    <t>WHAT YOU'LL LEARN</t>
  </si>
  <si>
    <t>1. Deal Overview</t>
  </si>
  <si>
    <t>Transaction snapshot &amp; key terms</t>
  </si>
  <si>
    <t>How deals are structured, premiums, and strategic rationale</t>
  </si>
  <si>
    <t>2. Transaction Comps</t>
  </si>
  <si>
    <t>Precedent transaction analysis</t>
  </si>
  <si>
    <t>How to value deals using comparable M&amp;A transactions</t>
  </si>
  <si>
    <t>3. Synergy Analysis</t>
  </si>
  <si>
    <t>Cost &amp; revenue synergy breakdown</t>
  </si>
  <si>
    <t>Where deal value comes from beyond the standalone business</t>
  </si>
  <si>
    <t>4. Accretion-Dilution</t>
  </si>
  <si>
    <t>Is the deal EPS accretive?</t>
  </si>
  <si>
    <t>Basic merger math: does the deal help or hurt acquirer EPS?</t>
  </si>
  <si>
    <t>5. Football Field</t>
  </si>
  <si>
    <t>Valuation summary visualization</t>
  </si>
  <si>
    <t>How bankers present valuation ranges to clients</t>
  </si>
  <si>
    <t>📊 DEAL TYPE GUIDE — Acquisition vs. Merger</t>
  </si>
  <si>
    <t>CASH ACQUISITION: One company buys another for cash. Use "Offer Price per Share" in C11. Example: Mars/Kellanova ($83.50/share).</t>
  </si>
  <si>
    <t>STOCK MERGER: Companies combine via share exchange. Use "Exchange Ratio" in C11 (e.g., 0.85x = target shareholders get 0.85 acquirer shares per target share).</t>
  </si>
  <si>
    <t>MIXED DEAL: Combination of cash + stock. Specify both components (e.g., "$30 cash + 0.50x stock"). Common in large deals.</t>
  </si>
  <si>
    <t>MERGER OF EQUALS (MOE): Neither company is clearly the "buyer." Focus on: exchange ratio, pro forma ownership split, governance (who's CEO/Chair?), HQ location.</t>
  </si>
  <si>
    <t>⚠️ KEY DIFFERENCES BY DEAL TYPE:</t>
  </si>
  <si>
    <t>• Cash deals: Premium = (Offer Price - Unaffected Price) / Unaffected Price. Financing = debt cost matters.</t>
  </si>
  <si>
    <t>• Stock deals: Premium implied by exchange ratio × acquirer price. Dilution = new shares issued. Pro forma ownership matters.</t>
  </si>
  <si>
    <t>• MOE: No "premium" per se — focus on exchange ratio fairness, relative contribution analysis, governance splits.</t>
  </si>
  <si>
    <t>📍 WHERE TO FIND DEAL DATA</t>
  </si>
  <si>
    <t>SEC EDGAR: Search for DEF 14A (merger proxy) or 8-K filings for deal announcements</t>
  </si>
  <si>
    <t>Press Releases: Company IR pages have deal announcement press releases with key terms</t>
  </si>
  <si>
    <t>Financial News: Bloomberg, WSJ, Reuters archive deal terms and banker quotes</t>
  </si>
  <si>
    <t>Fairness Opinions: Inside proxy statements, bankers disclose comps and valuation ranges</t>
  </si>
  <si>
    <t>PRECEDENT TRANSACTION ANALYSIS</t>
  </si>
  <si>
    <t>WHAT IS THIS? Precedent transactions ("transaction comps") show what buyers have paid for similar companies in past M&amp;A deals. This helps answer: Is the deal price fair compared to similar deals in this sector?</t>
  </si>
  <si>
    <t>💡 TIP: Focus on EV/EBITDA and EV/Revenue multiples. Higher multiples = buyer paid more relative to the target's financial performance. Premium deals usually have strong strategic rationale (synergies, market position, growth).</t>
  </si>
  <si>
    <t>SECTION 1: PRECEDENT TRANSACTIONS TABLE</t>
  </si>
  <si>
    <t>Transaction</t>
  </si>
  <si>
    <t>Date</t>
  </si>
  <si>
    <t>Revenue ($B)</t>
  </si>
  <si>
    <t>EBITDA ($B)</t>
  </si>
  <si>
    <t>EV/Revenue</t>
  </si>
  <si>
    <t>EV/EBITDA</t>
  </si>
  <si>
    <t>Premium Paid</t>
  </si>
  <si>
    <t>[Add comparable deal]</t>
  </si>
  <si>
    <t>SECTION 2: SUMMARY STATISTICS</t>
  </si>
  <si>
    <t>Metric</t>
  </si>
  <si>
    <t>Median (excl. this deal)</t>
  </si>
  <si>
    <t>Mean (excl. this deal)</t>
  </si>
  <si>
    <t>Premium/(Discount) to Median</t>
  </si>
  <si>
    <t>SECTION 3: YOUR INTERPRETATION</t>
  </si>
  <si>
    <t>🎯 KEY INSIGHT: Transaction comps show what buyers have ACTUALLY PAID, not just what companies trade for in the market. These multiples often include a "control premium" because buyers pay extra to gain full ownership and capture synergies.</t>
  </si>
  <si>
    <t>WHERE TO FIND PRECEDENT TRANSACTION DATA</t>
  </si>
  <si>
    <t>FREE SOURCES:</t>
  </si>
  <si>
    <t>SEC EDGAR - Merger proxy statements (DEF 14A) contain banker fairness opinions with comp tables</t>
  </si>
  <si>
    <t>Company Press Releases - Announcement press releases include deal value, multiples, premium</t>
  </si>
  <si>
    <t>Financial News - WSJ, Bloomberg, Reuters archive deal terms</t>
  </si>
  <si>
    <t>PAID SOURCES (if available):</t>
  </si>
  <si>
    <t>Bloomberg Terminal - MA&lt;GO&gt; function for M&amp;A deals</t>
  </si>
  <si>
    <t>Capital IQ - Transactions screening tool</t>
  </si>
  <si>
    <t>Refinitiv/LSEG - Deals database</t>
  </si>
  <si>
    <t>PitchBook - PE and M&amp;A transaction data</t>
  </si>
  <si>
    <r>
      <t xml:space="preserve">SYNERGY ANALYSIS </t>
    </r>
    <r>
      <rPr>
        <b/>
        <sz val="18"/>
        <color rgb="FFFF0000"/>
        <rFont val="Aptos Narrow"/>
        <family val="2"/>
        <scheme val="minor"/>
      </rPr>
      <t>(YOU MAY SKIP BUT WORTH PRACTICING IF YOU HAVE TIME)</t>
    </r>
  </si>
  <si>
    <t>📋 WHAT ARE SYNERGIES? Synergies are the extra value created by combining two companies. They're often the key reason buyers pay a premium. Synergies come in two flavors: Cost synergies (cut expenses) and Revenue synergies (grow sales faster together).</t>
  </si>
  <si>
    <t>💡 TIP: Cost synergies are more reliable ("we can eliminate duplicate HQ costs"). Revenue synergies are riskier ("we'll cross-sell to each other's customers"). Bankers usually haircut revenue synergies in models!</t>
  </si>
  <si>
    <t>SECTION 1: COST SYNERGIES</t>
  </si>
  <si>
    <t>Synergy Category</t>
  </si>
  <si>
    <t>Year 1</t>
  </si>
  <si>
    <t>Year 2</t>
  </si>
  <si>
    <t>Year 3 (Run-Rate)</t>
  </si>
  <si>
    <t>% of Run-Rate</t>
  </si>
  <si>
    <t>Logic / Assumptions</t>
  </si>
  <si>
    <t>Procurement / Raw Materials</t>
  </si>
  <si>
    <t>Combined buying power for ingredients</t>
  </si>
  <si>
    <t>Distribution &amp; Logistics</t>
  </si>
  <si>
    <t>Shared warehouses, routes, trucking</t>
  </si>
  <si>
    <t>G&amp;A / Corporate Overhead</t>
  </si>
  <si>
    <t>Eliminate duplicate HQ, legal, finance</t>
  </si>
  <si>
    <t>Manufacturing Optimization</t>
  </si>
  <si>
    <t>Plant consolidation, capacity sharing</t>
  </si>
  <si>
    <t>[Add category]</t>
  </si>
  <si>
    <t>TOTAL COST SYNERGIES ($M)</t>
  </si>
  <si>
    <t>SECTION 2: REVENUE SYNERGIES (Higher Risk!)</t>
  </si>
  <si>
    <t>Revenue Synergy Source</t>
  </si>
  <si>
    <t>Probability %</t>
  </si>
  <si>
    <t>Cross-sell to retail partners</t>
  </si>
  <si>
    <t>Mars candy shelf + Kellanova snacks</t>
  </si>
  <si>
    <t>International expansion (LatAm/Africa)</t>
  </si>
  <si>
    <t>Leverage Mars distribution network</t>
  </si>
  <si>
    <t>Innovation &amp; new products</t>
  </si>
  <si>
    <t>Combined R&amp;D capabilities</t>
  </si>
  <si>
    <t>[Add source]</t>
  </si>
  <si>
    <t>TOTAL REVENUE SYNERGIES ($M)</t>
  </si>
  <si>
    <t>RISK-WEIGHTED REV SYNERGIES</t>
  </si>
  <si>
    <t>SECTION 3: SYNERGY VALUE CALCULATION</t>
  </si>
  <si>
    <t>Value</t>
  </si>
  <si>
    <t>Notes</t>
  </si>
  <si>
    <t>Total Run-Rate Cost Synergies</t>
  </si>
  <si>
    <t>Year 3+ annual savings</t>
  </si>
  <si>
    <t>Total Run-Rate Revenue Synergies</t>
  </si>
  <si>
    <t>Year 3+ additional revenue</t>
  </si>
  <si>
    <t>Assumed Margin on Rev Synergies</t>
  </si>
  <si>
    <t>EBITDA margin on new revenue</t>
  </si>
  <si>
    <t>EBITDA from Revenue Synergies</t>
  </si>
  <si>
    <t>Revenue × Margin</t>
  </si>
  <si>
    <t>TOTAL SYNERGY EBITDA</t>
  </si>
  <si>
    <t>Synergy Multiple (EV/EBITDA)</t>
  </si>
  <si>
    <t>Typical range: 8-12x</t>
  </si>
  <si>
    <t>NPV OF SYNERGIES ($M)</t>
  </si>
  <si>
    <t>SECTION 4: YOUR INTERPRETATION</t>
  </si>
  <si>
    <t>💡 Are these synergy estimates realistic? Compare to the premium paid.</t>
  </si>
  <si>
    <t>[Your analysis: Mars paid ~$35.9B. What % of deal value do synergies represent? Is that typical for food M&amp;A? What could go wrong?]</t>
  </si>
  <si>
    <t>💡 Which synergies are most/least achievable? Why?</t>
  </si>
  <si>
    <t>[Your analysis: Think about integration complexity, cultural fit, execution risk. Which synergies have you seen work/fail in other deals?]</t>
  </si>
  <si>
    <t>🎯 KEY INSIGHT: Synergies are the heart of M&amp;A value creation. The rule of thumb: Cost synergies are usually 50-70% achievable, revenue synergies are only 20-40% achievable. Smart bankers model conservatively and let upside surprise!</t>
  </si>
  <si>
    <t>ACCRETION / DILUTION ANALYSIS</t>
  </si>
  <si>
    <t>📋 WHAT IS ACCRETION/DILUTION? This analysis answers: Will the deal INCREASE (accretive) or DECREASE (dilutive) the acquirer's Earnings Per Share (EPS)? It's one of the first questions boards and shareholders ask about any deal!</t>
  </si>
  <si>
    <t>💡 NOTE: This template works for BOTH acquisitions (cash or stock) AND mergers. Key differences are noted below. Green = inputs you edit. The formulas adjust automatically based on your deal structure.</t>
  </si>
  <si>
    <t>SECTION 1: DEAL ASSUMPTIONS</t>
  </si>
  <si>
    <t>ACQUIRER (Company A)</t>
  </si>
  <si>
    <t>TARGET (Company B)</t>
  </si>
  <si>
    <t>Share Price (hypothetical)</t>
  </si>
  <si>
    <t>Offer Price / Implied Price</t>
  </si>
  <si>
    <t>Shares Outstanding (M)</t>
  </si>
  <si>
    <t>Market Cap ($M)</t>
  </si>
  <si>
    <t>Equity Value ($M)</t>
  </si>
  <si>
    <t>Net Income ($M)</t>
  </si>
  <si>
    <t>EPS (Standalone)</t>
  </si>
  <si>
    <t>Target EPS</t>
  </si>
  <si>
    <t>SECTION 2: FINANCING ASSUMPTIONS</t>
  </si>
  <si>
    <t>% Cash</t>
  </si>
  <si>
    <t>INPUT: 100%=all cash, 0%=all stock</t>
  </si>
  <si>
    <t>% Stock</t>
  </si>
  <si>
    <t>Formula: =1-C20</t>
  </si>
  <si>
    <t>Cash Portion ($M)</t>
  </si>
  <si>
    <t>Cash x Equity Value</t>
  </si>
  <si>
    <t>Stock Portion ($M)</t>
  </si>
  <si>
    <t>Stock pct x Equity Value</t>
  </si>
  <si>
    <t>New Shares Issued (M)</t>
  </si>
  <si>
    <t>Stock Portion / Acquirer Price</t>
  </si>
  <si>
    <t>Cost of New Debt</t>
  </si>
  <si>
    <t>Interest rate on borrowings</t>
  </si>
  <si>
    <t>Tax Rate</t>
  </si>
  <si>
    <t>After-Tax Cost of Debt</t>
  </si>
  <si>
    <t>SECTION 3: ACCRETION/DILUTION CALCULATION</t>
  </si>
  <si>
    <t>Line Item</t>
  </si>
  <si>
    <t>Acquirer Standalone Net Income</t>
  </si>
  <si>
    <t>(+) Target Net Income</t>
  </si>
  <si>
    <t>(+) Synergies (After-Tax)</t>
  </si>
  <si>
    <t>Year 1 synergies × (1 - tax rate)</t>
  </si>
  <si>
    <t>(-) Interest on New Debt (After-Tax)</t>
  </si>
  <si>
    <t>Cash used × after-tax cost</t>
  </si>
  <si>
    <t>(-) Foregone Interest on Cash (After-Tax)</t>
  </si>
  <si>
    <t>If Mars used existing cash</t>
  </si>
  <si>
    <t>PRO FORMA NET INCOME</t>
  </si>
  <si>
    <t>Acquirer Shares (Standalone)</t>
  </si>
  <si>
    <t>(+) New Shares Issued</t>
  </si>
  <si>
    <t>PRO FORMA SHARES</t>
  </si>
  <si>
    <t>SECTION 4: EPS RESULT</t>
  </si>
  <si>
    <t>Standalone EPS</t>
  </si>
  <si>
    <t>Before the deal</t>
  </si>
  <si>
    <t>Pro Forma EPS</t>
  </si>
  <si>
    <t>After the deal</t>
  </si>
  <si>
    <t>ACCRETION / (DILUTION) $</t>
  </si>
  <si>
    <t>ACCRETION / (DILUTION) %</t>
  </si>
  <si>
    <t>VERDICT</t>
  </si>
  <si>
    <t>SECTION 5: YOUR INTERPRETATION</t>
  </si>
  <si>
    <t>💡 What makes a deal accretive vs dilutive?</t>
  </si>
  <si>
    <t>[Your analysis: Think about the P/E of acquirer vs target, cost of financing, synergy timing. When is dilution acceptable?]</t>
  </si>
  <si>
    <t>💡 Play with the inputs! What happens if you change the financing mix to 50% stock?</t>
  </si>
  <si>
    <t>[Your observations: Change C20 to 50% and watch the results change. Why does more stock = more dilution?]</t>
  </si>
  <si>
    <t>🎯 KEY INSIGHT: Accretion/dilution is just ONE metric. A dilutive deal can still be a GOOD deal if it's strategically important (new markets, capabilities, long-term growth). Don't let short-term EPS drive long-term strategy!</t>
  </si>
  <si>
    <t>SECTION 6: MERGER-SPECIFIC ANALYSIS (For Stock Deals / MOE)</t>
  </si>
  <si>
    <t>Exchange Ratio</t>
  </si>
  <si>
    <t>Target shareholders get X acquirer shares per target share</t>
  </si>
  <si>
    <t>Implied Premium (via Exchange Ratio)</t>
  </si>
  <si>
    <t>(ExchRatio x Acquirer Price / Target Pre-Deal) - 1</t>
  </si>
  <si>
    <t>PRO FORMA OWNERSHIP ANALYSIS</t>
  </si>
  <si>
    <t>Acquirer Shareholders %</t>
  </si>
  <si>
    <t>Target Shareholders %</t>
  </si>
  <si>
    <t>MOE TIP: In a merger of equals, ownership splits ~50/50. Exchange ratio set so each side gets fair ownership based on relative contribution.</t>
  </si>
  <si>
    <t>KEY DIFFERENCES: ACQUISITION vs. MERGER</t>
  </si>
  <si>
    <t>CASH ACQUISITION: Use Sections 1-5 above. Focus on: interest cost of debt, foregone interest, no new shares.</t>
  </si>
  <si>
    <t>STOCK MERGER: New shares issued = Target Shares x Exchange Ratio. No interest cost, but more dilution.</t>
  </si>
  <si>
    <t>MIXED DEAL: Split equity value into cash + stock portions. Model both interest cost AND share dilution.</t>
  </si>
  <si>
    <t>FOOTBALL FIELD VALUATION SUMMARY</t>
  </si>
  <si>
    <t>📋 WHAT IS A FOOTBALL FIELD? It's the classic banker visual that shows valuation ranges from different methodologies side-by-side. The 'field' shows where different approaches land, helping boards see if a price is fair.</t>
  </si>
  <si>
    <t>💡 TIP: The offer price should ideally fall within the 'field' of different valuations. If it's way above all methods = maybe overpaying. If way below = might be a steal (or red flags exist).</t>
  </si>
  <si>
    <t>SECTION 1: KELLANOVA KEY FINANCIALS</t>
  </si>
  <si>
    <t>Value ($B)</t>
  </si>
  <si>
    <t>Source</t>
  </si>
  <si>
    <t>Revenue (LTM)</t>
  </si>
  <si>
    <t>LTM Net Sales</t>
  </si>
  <si>
    <t>EBITDA (LTM)</t>
  </si>
  <si>
    <t>Adjusted EBITDA</t>
  </si>
  <si>
    <t>Fully Diluted</t>
  </si>
  <si>
    <t>Net Debt ($B)</t>
  </si>
  <si>
    <t>Total debt - cash</t>
  </si>
  <si>
    <t>Offer Price</t>
  </si>
  <si>
    <t>Deal price or implied price</t>
  </si>
  <si>
    <t>SECTION 2: VALUATION METHODOLOGY RANGES</t>
  </si>
  <si>
    <t>Methodology</t>
  </si>
  <si>
    <t>Low Multiple</t>
  </si>
  <si>
    <t>High Multiple</t>
  </si>
  <si>
    <t>Low EV ($B)</t>
  </si>
  <si>
    <t>High EV ($B)</t>
  </si>
  <si>
    <t>Low $/Share</t>
  </si>
  <si>
    <t>High $/Share</t>
  </si>
  <si>
    <t>Transaction Comps (EV/EBITDA)</t>
  </si>
  <si>
    <t>Trading Comps (EV/EBITDA)</t>
  </si>
  <si>
    <t>DCF Analysis</t>
  </si>
  <si>
    <t>N/A</t>
  </si>
  <si>
    <t>52-Week Trading Range</t>
  </si>
  <si>
    <t>SECTION 3: FOOTBALL FIELD DATA (For Chart)</t>
  </si>
  <si>
    <t>Low</t>
  </si>
  <si>
    <t>High</t>
  </si>
  <si>
    <t>Transaction Comps</t>
  </si>
  <si>
    <t>Trading Comps</t>
  </si>
  <si>
    <t>52-Week Range</t>
  </si>
  <si>
    <t>OFFER PRICE</t>
  </si>
  <si>
    <t>SECTION 4: VALUATION SUMMARY</t>
  </si>
  <si>
    <t>Implied Valuation Range</t>
  </si>
  <si>
    <t>Midpoint</t>
  </si>
  <si>
    <t>Overall Range (excl. 52-week)</t>
  </si>
  <si>
    <t>Premium/(Discount) to Midpoint</t>
  </si>
  <si>
    <t>💡 Does the offer price look fair based on the football field?</t>
  </si>
  <si>
    <t>[Your analysis: The offer is $83.50. Where does it fall in the ranges? What does that tell you about whether Mars paid a fair price?]</t>
  </si>
  <si>
    <t>💡 Which valuation methodology do you trust most here? Why?</t>
  </si>
  <si>
    <t>[Your analysis: Think about the reliability of each method. Transaction comps show what buyers actually paid. DCF depends on assumptions. What's most relevant for this deal?]</t>
  </si>
  <si>
    <t>🎯 KEY INSIGHT: The football field isn't about finding ONE right answer. It's about showing the RANGE of reasonable values and where the deal price falls. Boards use this to decide: 'Is this price defensible to shareholders?' A good banker can explain why any price in the field makes sense!</t>
  </si>
  <si>
    <t>M&amp;A ANALYSIS WORKBOOK — Style Guide &amp; Quick Reference</t>
  </si>
  <si>
    <t>COLOR SYSTEM</t>
  </si>
  <si>
    <t>Color</t>
  </si>
  <si>
    <t>Sample</t>
  </si>
  <si>
    <t>Usage</t>
  </si>
  <si>
    <t>Blue (#4E8CF0)</t>
  </si>
  <si>
    <t>Section headers, titles</t>
  </si>
  <si>
    <t>Sage Green (#C5E1A5)</t>
  </si>
  <si>
    <t>INPUT CELLS - Edit these!</t>
  </si>
  <si>
    <t>Output Teal (#B2DFDB)</t>
  </si>
  <si>
    <t>KEY OUTPUTS - Results</t>
  </si>
  <si>
    <t>Yellow (#FFF9C4)</t>
  </si>
  <si>
    <t>Guidance boxes, tips</t>
  </si>
  <si>
    <t>Light Blue (#E3F2FD)</t>
  </si>
  <si>
    <t>Key insights, takeaways</t>
  </si>
  <si>
    <t>Gray (#ECEFF1)</t>
  </si>
  <si>
    <t>Table headers</t>
  </si>
  <si>
    <t>M&amp;A KEY TERMS GLOSSARY</t>
  </si>
  <si>
    <t>Term</t>
  </si>
  <si>
    <t>Definition</t>
  </si>
  <si>
    <t>Enterprise Value (EV)</t>
  </si>
  <si>
    <t>Market Cap + Debt - Cash. Total value to buy the whole company.</t>
  </si>
  <si>
    <t>EBITDA</t>
  </si>
  <si>
    <t>Earnings Before Interest, Taxes, Depreciation &amp; Amortization. Proxy for cash flow.</t>
  </si>
  <si>
    <t>How many times EBITDA a buyer pays. Higher = more expensive.</t>
  </si>
  <si>
    <t>Premium</t>
  </si>
  <si>
    <t>How much more the buyer pays vs. the stock price before deal news.</t>
  </si>
  <si>
    <t>Synergies</t>
  </si>
  <si>
    <t>Extra value from combining companies (cost cuts + revenue growth).</t>
  </si>
  <si>
    <t>Accretive</t>
  </si>
  <si>
    <t>Deal INCREASES acquirer's EPS. Generally seen as positive.</t>
  </si>
  <si>
    <t>Dilutive</t>
  </si>
  <si>
    <t>Deal DECREASES acquirer's EPS. May still be a good deal strategically!</t>
  </si>
  <si>
    <t>Valuation based on similar past M&amp;A deals.</t>
  </si>
  <si>
    <t>Valuation based on how similar public companies trade today.</t>
  </si>
  <si>
    <t>DCF</t>
  </si>
  <si>
    <t>Discounted Cash Flow. Value based on projected future cash flows.</t>
  </si>
  <si>
    <t>Football Field</t>
  </si>
  <si>
    <t>Visual showing valuation ranges from different methodologies.</t>
  </si>
  <si>
    <t>Control Premium</t>
  </si>
  <si>
    <t>Extra amount paid to gain full ownership (usually 20-40%).</t>
  </si>
  <si>
    <t>RECOMMENDED WORKFLOW</t>
  </si>
  <si>
    <t>Understand the basics: who, what, why, how much</t>
  </si>
  <si>
    <t>Is the price fair vs. similar deals?</t>
  </si>
  <si>
    <t>Where does the extra value come from?</t>
  </si>
  <si>
    <t>4. Accretion/Dilution</t>
  </si>
  <si>
    <t>Does it help or hurt EPS?</t>
  </si>
  <si>
    <t>Put it all together visually</t>
  </si>
  <si>
    <t>Coeur Mining, Inc.</t>
  </si>
  <si>
    <t>N</t>
  </si>
  <si>
    <t>New Gold Inc</t>
  </si>
  <si>
    <t>All-Stock Merger</t>
  </si>
  <si>
    <t>0.4959x</t>
  </si>
  <si>
    <t>USD 7 Billion</t>
  </si>
  <si>
    <t>4.2x</t>
  </si>
  <si>
    <t>To become a 100% premier precious metals producer.</t>
  </si>
  <si>
    <t>USD 980 million</t>
  </si>
  <si>
    <t>New Afton Mine and Rainy River Mime</t>
  </si>
  <si>
    <t>2.07 Billion</t>
  </si>
  <si>
    <t>Tier 1 jurisidciations ( Canada, USA, Mexico )</t>
  </si>
  <si>
    <t>Senior producer status and entry into the Copper market</t>
  </si>
  <si>
    <t>All stock with issuance of 392.6 million Coeur shares</t>
  </si>
  <si>
    <t>Q1 2026</t>
  </si>
  <si>
    <t>M&amp;A Template  ·  Coeur Mining Acquisition of New Gold</t>
  </si>
  <si>
    <t>Coeur/ New Gold</t>
  </si>
  <si>
    <t>EV ($B) USD</t>
  </si>
  <si>
    <t>Alamos Gold / Argonaut Gold</t>
  </si>
  <si>
    <t>THIS DEAL (Coeur/New Gold)</t>
  </si>
  <si>
    <t>Newmont / Newcrest Mining</t>
  </si>
  <si>
    <t>Pan American / yamana Gold</t>
  </si>
  <si>
    <t>B2Gold / Sabina Gold &amp; Silver</t>
  </si>
  <si>
    <t>8.20x</t>
  </si>
  <si>
    <t>Agnico Eagle / Kirkland Lake</t>
  </si>
  <si>
    <t>💡 Is the Coeur/New Gold deal multiple justified? Why or why not?</t>
  </si>
  <si>
    <t>💡 What factors drive premium multiples in gold M&amp;A?</t>
  </si>
  <si>
    <t>The 4.2x EBITDA represents a significaant discount compared to the median of 8.20x. Although New Gold's Rainy River has faced some operational challenegs and high capital costs resulting in the loweer multiple. The high EV/Revenue shows that Coeur is paying for a good resoruce base for its long term value. Plus Coeur can preserve its cash due to the all stock nature of the deal.</t>
  </si>
  <si>
    <t>Higher premiums fro Tier 1 Canadian Assets due to lower geopolitical risk. Copper is also viewed as a critical green energy which exposes Coeur to a new resource which they did not have before the deal. Mines with 10+ years of life are also rare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</si>
</sst>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164" formatCode="&quot;$&quot;#,##0.00"/>
    <numFmt numFmtId="165" formatCode="&quot;$&quot;#,##0"/>
    <numFmt numFmtId="166" formatCode="0.0&quot;x&quot;"/>
    <numFmt numFmtId="167" formatCode="0.0%"/>
    <numFmt numFmtId="168" formatCode="&quot;$&quot;#,##0.0"/>
    <numFmt numFmtId="169" formatCode="0.00\x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4"/>
      <color rgb="FF4E8CF0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24"/>
      <color rgb="FFFFFFFF"/>
      <name val="Aptos Narrow"/>
      <family val="2"/>
      <scheme val="minor"/>
    </font>
    <font>
      <i/>
      <sz val="12"/>
      <color rgb="FF4E8CF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b/>
      <sz val="18"/>
      <color rgb="FFFF000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5E1A5"/>
        <bgColor indexed="64"/>
      </patternFill>
    </fill>
    <fill>
      <patternFill patternType="solid">
        <fgColor rgb="FFECEF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B2DFDB"/>
        <bgColor indexed="64"/>
      </patternFill>
    </fill>
    <fill>
      <patternFill patternType="solid">
        <fgColor rgb="FFFFCDD2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4E8C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6" borderId="0" xfId="0" applyFont="1" applyFill="1"/>
    <xf numFmtId="0" fontId="0" fillId="7" borderId="0" xfId="0" applyFill="1"/>
    <xf numFmtId="0" fontId="1" fillId="7" borderId="0" xfId="0" applyFont="1" applyFill="1"/>
    <xf numFmtId="0" fontId="0" fillId="8" borderId="0" xfId="0" applyFill="1"/>
    <xf numFmtId="0" fontId="0" fillId="6" borderId="0" xfId="0" applyFill="1"/>
    <xf numFmtId="0" fontId="0" fillId="9" borderId="0" xfId="0" applyFill="1"/>
    <xf numFmtId="0" fontId="0" fillId="3" borderId="0" xfId="0" applyFill="1"/>
    <xf numFmtId="0" fontId="0" fillId="5" borderId="0" xfId="0" applyFill="1"/>
    <xf numFmtId="164" fontId="0" fillId="0" borderId="0" xfId="0" applyNumberFormat="1"/>
    <xf numFmtId="15" fontId="0" fillId="2" borderId="0" xfId="0" applyNumberFormat="1" applyFill="1"/>
    <xf numFmtId="8" fontId="0" fillId="2" borderId="0" xfId="0" applyNumberFormat="1" applyFill="1"/>
    <xf numFmtId="0" fontId="1" fillId="3" borderId="0" xfId="0" applyFont="1" applyFill="1" applyAlignment="1">
      <alignment horizontal="center"/>
    </xf>
    <xf numFmtId="9" fontId="0" fillId="0" borderId="0" xfId="0" applyNumberFormat="1"/>
    <xf numFmtId="17" fontId="0" fillId="6" borderId="0" xfId="0" applyNumberFormat="1" applyFill="1"/>
    <xf numFmtId="9" fontId="0" fillId="6" borderId="0" xfId="0" applyNumberFormat="1" applyFill="1"/>
    <xf numFmtId="2" fontId="0" fillId="6" borderId="0" xfId="0" applyNumberFormat="1" applyFill="1"/>
    <xf numFmtId="2" fontId="0" fillId="2" borderId="0" xfId="0" applyNumberFormat="1" applyFill="1"/>
    <xf numFmtId="166" fontId="0" fillId="6" borderId="0" xfId="0" applyNumberFormat="1" applyFill="1"/>
    <xf numFmtId="166" fontId="0" fillId="2" borderId="0" xfId="0" applyNumberFormat="1" applyFill="1"/>
    <xf numFmtId="165" fontId="0" fillId="2" borderId="0" xfId="0" applyNumberFormat="1" applyFill="1"/>
    <xf numFmtId="165" fontId="1" fillId="6" borderId="0" xfId="0" applyNumberFormat="1" applyFont="1" applyFill="1"/>
    <xf numFmtId="9" fontId="0" fillId="2" borderId="0" xfId="0" applyNumberFormat="1" applyFill="1"/>
    <xf numFmtId="9" fontId="1" fillId="6" borderId="0" xfId="0" applyNumberFormat="1" applyFont="1" applyFill="1"/>
    <xf numFmtId="164" fontId="0" fillId="2" borderId="0" xfId="0" applyNumberFormat="1" applyFill="1"/>
    <xf numFmtId="164" fontId="0" fillId="6" borderId="0" xfId="0" applyNumberFormat="1" applyFill="1"/>
    <xf numFmtId="167" fontId="0" fillId="2" borderId="0" xfId="0" applyNumberFormat="1" applyFill="1"/>
    <xf numFmtId="3" fontId="1" fillId="6" borderId="0" xfId="0" applyNumberFormat="1" applyFont="1" applyFill="1"/>
    <xf numFmtId="0" fontId="7" fillId="6" borderId="0" xfId="0" applyFont="1" applyFill="1"/>
    <xf numFmtId="167" fontId="1" fillId="6" borderId="0" xfId="0" applyNumberFormat="1" applyFont="1" applyFill="1"/>
    <xf numFmtId="168" fontId="0" fillId="0" borderId="0" xfId="0" applyNumberFormat="1"/>
    <xf numFmtId="168" fontId="0" fillId="2" borderId="0" xfId="0" applyNumberFormat="1" applyFill="1"/>
    <xf numFmtId="164" fontId="0" fillId="7" borderId="0" xfId="0" applyNumberFormat="1" applyFill="1"/>
    <xf numFmtId="164" fontId="0" fillId="8" borderId="0" xfId="0" applyNumberFormat="1" applyFill="1"/>
    <xf numFmtId="164" fontId="0" fillId="9" borderId="0" xfId="0" applyNumberFormat="1" applyFill="1"/>
    <xf numFmtId="164" fontId="0" fillId="5" borderId="0" xfId="0" applyNumberFormat="1" applyFill="1"/>
    <xf numFmtId="164" fontId="1" fillId="6" borderId="0" xfId="0" applyNumberFormat="1" applyFont="1" applyFill="1"/>
    <xf numFmtId="0" fontId="0" fillId="11" borderId="0" xfId="0" applyFill="1"/>
    <xf numFmtId="0" fontId="1" fillId="10" borderId="0" xfId="0" applyFont="1" applyFill="1"/>
    <xf numFmtId="0" fontId="1" fillId="0" borderId="0" xfId="0" applyFont="1"/>
    <xf numFmtId="0" fontId="0" fillId="4" borderId="0" xfId="0" applyFill="1"/>
    <xf numFmtId="0" fontId="0" fillId="10" borderId="0" xfId="0" applyFill="1"/>
    <xf numFmtId="0" fontId="0" fillId="2" borderId="0" xfId="0" applyFill="1"/>
    <xf numFmtId="0" fontId="1" fillId="3" borderId="0" xfId="0" applyFont="1" applyFill="1"/>
    <xf numFmtId="0" fontId="3" fillId="0" borderId="0" xfId="0" applyFont="1"/>
    <xf numFmtId="169" fontId="0" fillId="6" borderId="0" xfId="0" applyNumberFormat="1" applyFill="1"/>
    <xf numFmtId="165" fontId="0" fillId="6" borderId="0" xfId="0" applyNumberFormat="1" applyFill="1"/>
    <xf numFmtId="3" fontId="0" fillId="6" borderId="0" xfId="0" applyNumberFormat="1" applyFill="1"/>
    <xf numFmtId="167" fontId="0" fillId="6" borderId="0" xfId="0" applyNumberFormat="1" applyFill="1"/>
    <xf numFmtId="0" fontId="11" fillId="11" borderId="0" xfId="0" applyFont="1" applyFill="1"/>
    <xf numFmtId="0" fontId="8" fillId="8" borderId="0" xfId="0" applyFont="1" applyFill="1"/>
    <xf numFmtId="0" fontId="5" fillId="11" borderId="0" xfId="0" applyFont="1" applyFill="1" applyAlignment="1">
      <alignment horizontal="center"/>
    </xf>
    <xf numFmtId="0" fontId="0" fillId="0" borderId="0" xfId="0"/>
    <xf numFmtId="0" fontId="6" fillId="0" borderId="0" xfId="0" applyFont="1" applyAlignment="1">
      <alignment horizontal="center"/>
    </xf>
    <xf numFmtId="0" fontId="8" fillId="5" borderId="0" xfId="0" applyFont="1" applyFill="1"/>
    <xf numFmtId="0" fontId="1" fillId="0" borderId="0" xfId="0" applyFont="1"/>
    <xf numFmtId="0" fontId="1" fillId="5" borderId="0" xfId="0" applyFont="1" applyFill="1" applyAlignment="1">
      <alignment wrapText="1"/>
    </xf>
    <xf numFmtId="0" fontId="0" fillId="4" borderId="0" xfId="0" applyFill="1"/>
    <xf numFmtId="0" fontId="0" fillId="10" borderId="0" xfId="0" applyFill="1"/>
    <xf numFmtId="0" fontId="2" fillId="8" borderId="0" xfId="0" applyFont="1" applyFill="1" applyAlignment="1">
      <alignment wrapText="1"/>
    </xf>
    <xf numFmtId="0" fontId="11" fillId="11" borderId="0" xfId="0" applyFont="1" applyFill="1"/>
    <xf numFmtId="0" fontId="9" fillId="11" borderId="0" xfId="0" applyFont="1" applyFill="1" applyAlignment="1">
      <alignment horizontal="center"/>
    </xf>
    <xf numFmtId="0" fontId="0" fillId="5" borderId="0" xfId="0" applyFill="1" applyAlignment="1">
      <alignment wrapText="1"/>
    </xf>
    <xf numFmtId="0" fontId="4" fillId="11" borderId="0" xfId="0" applyFont="1" applyFill="1"/>
    <xf numFmtId="0" fontId="0" fillId="2" borderId="0" xfId="0" applyFill="1"/>
    <xf numFmtId="0" fontId="0" fillId="2" borderId="0" xfId="0" applyFill="1" applyAlignment="1">
      <alignment wrapText="1"/>
    </xf>
    <xf numFmtId="0" fontId="1" fillId="3" borderId="0" xfId="0" applyFont="1" applyFill="1"/>
    <xf numFmtId="0" fontId="3" fillId="0" borderId="0" xfId="0" applyFont="1"/>
    <xf numFmtId="17" fontId="0" fillId="2" borderId="0" xfId="0" applyNumberFormat="1" applyFill="1"/>
    <xf numFmtId="166" fontId="0" fillId="2" borderId="0" xfId="0" applyNumberForma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5D84FF"/>
      <color rgb="FF0F4BAD"/>
      <color rgb="FF4E8CF0"/>
      <color rgb="FF4385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Football Field - Implied Share Price Ranges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'5. Football Field'!$C$28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'5. Football Field'!$B$29:$B$33</c:f>
              <c:strCache>
                <c:ptCount val="5"/>
                <c:pt idx="0">
                  <c:v>Transaction Comps</c:v>
                </c:pt>
                <c:pt idx="1">
                  <c:v>Trading Comps</c:v>
                </c:pt>
                <c:pt idx="2">
                  <c:v>DCF Analysis</c:v>
                </c:pt>
                <c:pt idx="3">
                  <c:v>52-Week Range</c:v>
                </c:pt>
                <c:pt idx="4">
                  <c:v>OFFER PRICE</c:v>
                </c:pt>
              </c:strCache>
            </c:strRef>
          </c:cat>
          <c:val>
            <c:numRef>
              <c:f>'5. Football Field'!$C$29:$C$33</c:f>
              <c:numCache>
                <c:formatCode>"$"#,##0.00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28-4B49-A992-DF9565206318}"/>
            </c:ext>
          </c:extLst>
        </c:ser>
        <c:ser>
          <c:idx val="1"/>
          <c:order val="1"/>
          <c:tx>
            <c:strRef>
              <c:f>'5. Football Field'!$D$28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'5. Football Field'!$B$29:$B$33</c:f>
              <c:strCache>
                <c:ptCount val="5"/>
                <c:pt idx="0">
                  <c:v>Transaction Comps</c:v>
                </c:pt>
                <c:pt idx="1">
                  <c:v>Trading Comps</c:v>
                </c:pt>
                <c:pt idx="2">
                  <c:v>DCF Analysis</c:v>
                </c:pt>
                <c:pt idx="3">
                  <c:v>52-Week Range</c:v>
                </c:pt>
                <c:pt idx="4">
                  <c:v>OFFER PRICE</c:v>
                </c:pt>
              </c:strCache>
            </c:strRef>
          </c:cat>
          <c:val>
            <c:numRef>
              <c:f>'5. Football Field'!$D$29:$D$33</c:f>
              <c:numCache>
                <c:formatCode>"$"#,##0.00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28-4B49-A992-DF9565206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60268335"/>
        <c:axId val="1760258255"/>
      </c:barChart>
      <c:catAx>
        <c:axId val="1760268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258255"/>
        <c:crosses val="autoZero"/>
        <c:auto val="1"/>
        <c:lblAlgn val="ctr"/>
        <c:lblOffset val="100"/>
        <c:noMultiLvlLbl val="0"/>
      </c:catAx>
      <c:valAx>
        <c:axId val="1760258255"/>
        <c:scaling>
          <c:orientation val="minMax"/>
          <c:max val="1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Share Price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268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34</xdr:row>
      <xdr:rowOff>0</xdr:rowOff>
    </xdr:from>
    <xdr:to>
      <xdr:col>8</xdr:col>
      <xdr:colOff>0</xdr:colOff>
      <xdr:row>55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0BF21D-5B08-D3C2-3D68-6A9C691D67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  <wetp:taskpane dockstate="right" visibility="0" width="350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166D983E-835B-47C3-8A1B-9C9020B5D263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05c59d5f-15b3-4c47-96bf-1389f8ab49c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F8F31300-731E-4C1C-8196-EB6736E376A0}">
  <we:reference id="wa200008399" version="1.0.0.4" store="en-US" storeType="OMEX"/>
  <we:alternateReferences>
    <we:reference id="WA200008399" version="1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612B9-9339-43E6-8CB4-AB719787BA9A}">
  <sheetPr>
    <tabColor rgb="FF4E8CF0"/>
  </sheetPr>
  <dimension ref="B2:H45"/>
  <sheetViews>
    <sheetView topLeftCell="A4" workbookViewId="0">
      <selection activeCell="B3" sqref="B3:F3"/>
    </sheetView>
  </sheetViews>
  <sheetFormatPr baseColWidth="10" defaultColWidth="8.83203125" defaultRowHeight="15" x14ac:dyDescent="0.2"/>
  <cols>
    <col min="1" max="1" width="3.5" customWidth="1"/>
    <col min="2" max="2" width="34.33203125" customWidth="1"/>
    <col min="3" max="3" width="28.5" customWidth="1"/>
    <col min="4" max="4" width="3.83203125" customWidth="1"/>
    <col min="5" max="5" width="34.33203125" customWidth="1"/>
    <col min="6" max="6" width="28.5" customWidth="1"/>
    <col min="7" max="7" width="3.83203125" customWidth="1"/>
    <col min="8" max="8" width="34.33203125" customWidth="1"/>
    <col min="9" max="9" width="28.5" customWidth="1"/>
    <col min="10" max="11" width="17.1640625" customWidth="1"/>
  </cols>
  <sheetData>
    <row r="2" spans="2:8" ht="40" customHeight="1" x14ac:dyDescent="0.4">
      <c r="B2" s="51" t="s">
        <v>0</v>
      </c>
      <c r="C2" s="52"/>
      <c r="D2" s="52"/>
      <c r="E2" s="52"/>
      <c r="F2" s="52"/>
    </row>
    <row r="3" spans="2:8" ht="20" customHeight="1" x14ac:dyDescent="0.2">
      <c r="B3" s="53" t="s">
        <v>318</v>
      </c>
      <c r="C3" s="52"/>
      <c r="D3" s="52"/>
      <c r="E3" s="52"/>
      <c r="F3" s="52"/>
    </row>
    <row r="4" spans="2:8" ht="4" customHeight="1" x14ac:dyDescent="0.2"/>
    <row r="5" spans="2:8" ht="19" x14ac:dyDescent="0.25">
      <c r="B5" s="44" t="s">
        <v>1</v>
      </c>
      <c r="E5" s="44" t="s">
        <v>2</v>
      </c>
    </row>
    <row r="6" spans="2:8" x14ac:dyDescent="0.2">
      <c r="C6" t="s">
        <v>304</v>
      </c>
    </row>
    <row r="7" spans="2:8" x14ac:dyDescent="0.2">
      <c r="B7" s="39" t="s">
        <v>3</v>
      </c>
      <c r="C7" s="42" t="s">
        <v>303</v>
      </c>
      <c r="E7" s="39" t="s">
        <v>4</v>
      </c>
      <c r="F7" s="42" t="s">
        <v>310</v>
      </c>
    </row>
    <row r="8" spans="2:8" x14ac:dyDescent="0.2">
      <c r="B8" s="39" t="s">
        <v>5</v>
      </c>
      <c r="C8" s="42" t="s">
        <v>305</v>
      </c>
      <c r="E8" s="39" t="s">
        <v>6</v>
      </c>
      <c r="F8" s="42" t="s">
        <v>311</v>
      </c>
    </row>
    <row r="9" spans="2:8" x14ac:dyDescent="0.2">
      <c r="B9" s="39" t="s">
        <v>7</v>
      </c>
      <c r="C9" s="10">
        <v>45963</v>
      </c>
      <c r="E9" s="39" t="s">
        <v>8</v>
      </c>
      <c r="F9" s="42">
        <v>1650</v>
      </c>
    </row>
    <row r="10" spans="2:8" x14ac:dyDescent="0.2">
      <c r="B10" s="39" t="s">
        <v>9</v>
      </c>
      <c r="C10" s="42" t="s">
        <v>306</v>
      </c>
      <c r="E10" s="39" t="s">
        <v>10</v>
      </c>
      <c r="F10" s="42" t="s">
        <v>312</v>
      </c>
    </row>
    <row r="11" spans="2:8" x14ac:dyDescent="0.2">
      <c r="B11" s="39" t="s">
        <v>11</v>
      </c>
      <c r="C11" s="11" t="s">
        <v>307</v>
      </c>
      <c r="E11" s="39" t="s">
        <v>12</v>
      </c>
      <c r="F11" s="42" t="s">
        <v>313</v>
      </c>
    </row>
    <row r="12" spans="2:8" x14ac:dyDescent="0.2">
      <c r="B12" s="39" t="s">
        <v>13</v>
      </c>
      <c r="C12" s="42" t="s">
        <v>308</v>
      </c>
      <c r="E12" s="39" t="s">
        <v>14</v>
      </c>
      <c r="F12" s="42" t="s">
        <v>314</v>
      </c>
    </row>
    <row r="13" spans="2:8" x14ac:dyDescent="0.2">
      <c r="B13" s="39" t="s">
        <v>15</v>
      </c>
      <c r="C13" s="22">
        <v>0.16</v>
      </c>
      <c r="E13" s="39" t="s">
        <v>17</v>
      </c>
      <c r="F13" s="42" t="s">
        <v>315</v>
      </c>
      <c r="H13" t="s">
        <v>18</v>
      </c>
    </row>
    <row r="14" spans="2:8" x14ac:dyDescent="0.2">
      <c r="B14" s="39" t="s">
        <v>19</v>
      </c>
      <c r="C14" s="42" t="s">
        <v>16</v>
      </c>
      <c r="E14" s="39" t="s">
        <v>20</v>
      </c>
      <c r="F14" s="42" t="s">
        <v>316</v>
      </c>
    </row>
    <row r="15" spans="2:8" x14ac:dyDescent="0.2">
      <c r="B15" s="39" t="s">
        <v>21</v>
      </c>
      <c r="C15" s="42" t="s">
        <v>309</v>
      </c>
      <c r="E15" s="39" t="s">
        <v>22</v>
      </c>
      <c r="F15" s="42" t="s">
        <v>317</v>
      </c>
    </row>
    <row r="17" spans="2:6" ht="16" x14ac:dyDescent="0.2">
      <c r="B17" s="54" t="s">
        <v>23</v>
      </c>
      <c r="C17" s="55"/>
      <c r="D17" s="55"/>
      <c r="E17" s="55"/>
      <c r="F17" s="55"/>
    </row>
    <row r="18" spans="2:6" x14ac:dyDescent="0.2">
      <c r="B18" s="56" t="s">
        <v>24</v>
      </c>
      <c r="C18" s="55"/>
      <c r="D18" s="55"/>
      <c r="E18" s="55"/>
      <c r="F18" s="55"/>
    </row>
    <row r="19" spans="2:6" x14ac:dyDescent="0.2">
      <c r="B19" s="55"/>
      <c r="C19" s="55"/>
      <c r="D19" s="55"/>
      <c r="E19" s="55"/>
      <c r="F19" s="55"/>
    </row>
    <row r="21" spans="2:6" ht="19" x14ac:dyDescent="0.25">
      <c r="B21" s="44" t="s">
        <v>25</v>
      </c>
    </row>
    <row r="23" spans="2:6" x14ac:dyDescent="0.2">
      <c r="B23" s="43" t="s">
        <v>26</v>
      </c>
      <c r="C23" s="43" t="s">
        <v>27</v>
      </c>
      <c r="D23" s="43"/>
      <c r="E23" s="43" t="s">
        <v>28</v>
      </c>
      <c r="F23" s="43"/>
    </row>
    <row r="24" spans="2:6" x14ac:dyDescent="0.2">
      <c r="B24" s="40" t="s">
        <v>29</v>
      </c>
      <c r="C24" s="40" t="s">
        <v>30</v>
      </c>
      <c r="D24" s="40"/>
      <c r="E24" s="57" t="s">
        <v>31</v>
      </c>
      <c r="F24" s="57"/>
    </row>
    <row r="25" spans="2:6" x14ac:dyDescent="0.2">
      <c r="B25" s="41" t="s">
        <v>32</v>
      </c>
      <c r="C25" s="41" t="s">
        <v>33</v>
      </c>
      <c r="D25" s="41"/>
      <c r="E25" s="58" t="s">
        <v>34</v>
      </c>
      <c r="F25" s="58"/>
    </row>
    <row r="26" spans="2:6" x14ac:dyDescent="0.2">
      <c r="B26" s="40" t="s">
        <v>35</v>
      </c>
      <c r="C26" s="40" t="s">
        <v>36</v>
      </c>
      <c r="D26" s="40"/>
      <c r="E26" s="57" t="s">
        <v>37</v>
      </c>
      <c r="F26" s="57"/>
    </row>
    <row r="27" spans="2:6" x14ac:dyDescent="0.2">
      <c r="B27" s="41" t="s">
        <v>38</v>
      </c>
      <c r="C27" s="41" t="s">
        <v>39</v>
      </c>
      <c r="D27" s="41"/>
      <c r="E27" s="58" t="s">
        <v>40</v>
      </c>
      <c r="F27" s="58"/>
    </row>
    <row r="28" spans="2:6" x14ac:dyDescent="0.2">
      <c r="B28" s="40" t="s">
        <v>41</v>
      </c>
      <c r="C28" s="40" t="s">
        <v>42</v>
      </c>
      <c r="D28" s="40"/>
      <c r="E28" s="57" t="s">
        <v>43</v>
      </c>
      <c r="F28" s="57"/>
    </row>
    <row r="30" spans="2:6" ht="16" x14ac:dyDescent="0.2">
      <c r="B30" s="50" t="s">
        <v>44</v>
      </c>
      <c r="C30" s="50"/>
      <c r="D30" s="50"/>
      <c r="E30" s="50"/>
      <c r="F30" s="50"/>
    </row>
    <row r="31" spans="2:6" x14ac:dyDescent="0.2">
      <c r="B31" s="4" t="s">
        <v>45</v>
      </c>
      <c r="C31" s="4"/>
      <c r="D31" s="4"/>
      <c r="E31" s="4"/>
      <c r="F31" s="4"/>
    </row>
    <row r="32" spans="2:6" x14ac:dyDescent="0.2">
      <c r="B32" s="4" t="s">
        <v>46</v>
      </c>
      <c r="C32" s="4"/>
      <c r="D32" s="4"/>
      <c r="E32" s="4"/>
      <c r="F32" s="4"/>
    </row>
    <row r="33" spans="2:6" x14ac:dyDescent="0.2">
      <c r="B33" s="4" t="s">
        <v>47</v>
      </c>
      <c r="C33" s="4"/>
      <c r="D33" s="4"/>
      <c r="E33" s="4"/>
      <c r="F33" s="4"/>
    </row>
    <row r="34" spans="2:6" x14ac:dyDescent="0.2">
      <c r="B34" s="4" t="s">
        <v>48</v>
      </c>
      <c r="C34" s="4"/>
      <c r="D34" s="4"/>
      <c r="E34" s="4"/>
      <c r="F34" s="4"/>
    </row>
    <row r="36" spans="2:6" x14ac:dyDescent="0.2">
      <c r="B36" s="4" t="s">
        <v>49</v>
      </c>
    </row>
    <row r="37" spans="2:6" x14ac:dyDescent="0.2">
      <c r="B37" s="4" t="s">
        <v>50</v>
      </c>
    </row>
    <row r="38" spans="2:6" x14ac:dyDescent="0.2">
      <c r="B38" s="4" t="s">
        <v>51</v>
      </c>
    </row>
    <row r="39" spans="2:6" x14ac:dyDescent="0.2">
      <c r="B39" s="4" t="s">
        <v>52</v>
      </c>
    </row>
    <row r="41" spans="2:6" x14ac:dyDescent="0.2">
      <c r="B41" s="49" t="s">
        <v>53</v>
      </c>
    </row>
    <row r="42" spans="2:6" x14ac:dyDescent="0.2">
      <c r="B42" s="4" t="s">
        <v>54</v>
      </c>
    </row>
    <row r="43" spans="2:6" x14ac:dyDescent="0.2">
      <c r="B43" s="4" t="s">
        <v>55</v>
      </c>
    </row>
    <row r="44" spans="2:6" x14ac:dyDescent="0.2">
      <c r="B44" s="4" t="s">
        <v>56</v>
      </c>
    </row>
    <row r="45" spans="2:6" x14ac:dyDescent="0.2">
      <c r="B45" s="4" t="s">
        <v>57</v>
      </c>
    </row>
  </sheetData>
  <mergeCells count="10">
    <mergeCell ref="B30:F30"/>
    <mergeCell ref="B2:F2"/>
    <mergeCell ref="B3:F3"/>
    <mergeCell ref="B17:F17"/>
    <mergeCell ref="B18:F19"/>
    <mergeCell ref="E24:F24"/>
    <mergeCell ref="E25:F25"/>
    <mergeCell ref="E26:F26"/>
    <mergeCell ref="E27:F27"/>
    <mergeCell ref="E28:F2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0B06A-807A-4F11-BF01-2A843C13FF03}">
  <sheetPr>
    <tabColor rgb="FF7CB342"/>
  </sheetPr>
  <dimension ref="B2:I67"/>
  <sheetViews>
    <sheetView topLeftCell="A4" workbookViewId="0">
      <selection activeCell="B36" sqref="B36:I38"/>
    </sheetView>
  </sheetViews>
  <sheetFormatPr baseColWidth="10" defaultColWidth="8.83203125" defaultRowHeight="15" x14ac:dyDescent="0.2"/>
  <cols>
    <col min="1" max="1" width="1" customWidth="1"/>
    <col min="2" max="2" width="38.1640625" customWidth="1"/>
    <col min="3" max="8" width="19" customWidth="1"/>
    <col min="9" max="9" width="22.83203125" customWidth="1"/>
    <col min="10" max="12" width="19" customWidth="1"/>
    <col min="13" max="14" width="22.83203125" customWidth="1"/>
  </cols>
  <sheetData>
    <row r="2" spans="2:9" ht="35" customHeight="1" x14ac:dyDescent="0.3">
      <c r="B2" s="61" t="s">
        <v>58</v>
      </c>
      <c r="C2" s="52"/>
      <c r="D2" s="52"/>
      <c r="E2" s="52"/>
      <c r="F2" s="52"/>
      <c r="G2" s="52"/>
      <c r="H2" s="52"/>
      <c r="I2" s="52"/>
    </row>
    <row r="4" spans="2:9" ht="25" customHeight="1" x14ac:dyDescent="0.2">
      <c r="B4" s="62" t="s">
        <v>59</v>
      </c>
      <c r="C4" s="52"/>
      <c r="D4" s="52"/>
      <c r="E4" s="52"/>
      <c r="F4" s="52"/>
      <c r="G4" s="52"/>
      <c r="H4" s="52"/>
      <c r="I4" s="52"/>
    </row>
    <row r="5" spans="2:9" ht="25" customHeight="1" x14ac:dyDescent="0.2">
      <c r="B5" s="52"/>
      <c r="C5" s="52"/>
      <c r="D5" s="52"/>
      <c r="E5" s="52"/>
      <c r="F5" s="52"/>
      <c r="G5" s="52"/>
      <c r="H5" s="52"/>
      <c r="I5" s="52"/>
    </row>
    <row r="6" spans="2:9" x14ac:dyDescent="0.2">
      <c r="B6" s="62" t="s">
        <v>60</v>
      </c>
      <c r="C6" s="52"/>
      <c r="D6" s="52"/>
      <c r="E6" s="52"/>
      <c r="F6" s="52"/>
      <c r="G6" s="52"/>
      <c r="H6" s="52"/>
      <c r="I6" s="52"/>
    </row>
    <row r="7" spans="2:9" x14ac:dyDescent="0.2">
      <c r="B7" s="52"/>
      <c r="C7" s="52"/>
      <c r="D7" s="52"/>
      <c r="E7" s="52"/>
      <c r="F7" s="52"/>
      <c r="G7" s="52"/>
      <c r="H7" s="52"/>
      <c r="I7" s="52"/>
    </row>
    <row r="9" spans="2:9" ht="16" x14ac:dyDescent="0.2">
      <c r="B9" s="63" t="s">
        <v>61</v>
      </c>
      <c r="C9" s="52"/>
      <c r="D9" s="52"/>
      <c r="E9" s="52"/>
      <c r="F9" s="52"/>
      <c r="G9" s="52"/>
      <c r="H9" s="52"/>
      <c r="I9" s="52"/>
    </row>
    <row r="11" spans="2:9" x14ac:dyDescent="0.2">
      <c r="B11" s="12" t="s">
        <v>62</v>
      </c>
      <c r="C11" s="12" t="s">
        <v>63</v>
      </c>
      <c r="D11" s="12" t="s">
        <v>320</v>
      </c>
      <c r="E11" s="12" t="s">
        <v>64</v>
      </c>
      <c r="F11" s="12" t="s">
        <v>65</v>
      </c>
      <c r="G11" s="12" t="s">
        <v>66</v>
      </c>
      <c r="H11" s="12" t="s">
        <v>67</v>
      </c>
      <c r="I11" s="12" t="s">
        <v>68</v>
      </c>
    </row>
    <row r="12" spans="2:9" x14ac:dyDescent="0.2">
      <c r="B12" s="1" t="s">
        <v>319</v>
      </c>
      <c r="C12" s="14">
        <v>45962</v>
      </c>
      <c r="D12" s="16">
        <v>7</v>
      </c>
      <c r="E12" s="16">
        <v>0.98</v>
      </c>
      <c r="F12" s="16">
        <v>1.67</v>
      </c>
      <c r="G12" s="18">
        <f>IF(E12=0,"",D12/E12)</f>
        <v>7.1428571428571432</v>
      </c>
      <c r="H12" s="18">
        <f>IF(F12=0,"",D12/F12)</f>
        <v>4.1916167664670656</v>
      </c>
      <c r="I12" s="15">
        <v>0.16</v>
      </c>
    </row>
    <row r="13" spans="2:9" x14ac:dyDescent="0.2">
      <c r="B13" s="42" t="s">
        <v>321</v>
      </c>
      <c r="C13" s="68">
        <v>45352</v>
      </c>
      <c r="D13" s="17">
        <v>0.33</v>
      </c>
      <c r="E13" s="17">
        <v>0.37</v>
      </c>
      <c r="F13" s="17">
        <v>0.06</v>
      </c>
      <c r="G13" s="19">
        <f>IF(E13=0,"",D13/E13)</f>
        <v>0.891891891891892</v>
      </c>
      <c r="H13" s="19">
        <f>IF(F13=0,"",D13/F13)</f>
        <v>5.5000000000000009</v>
      </c>
      <c r="I13" s="22">
        <v>0.34</v>
      </c>
    </row>
    <row r="14" spans="2:9" x14ac:dyDescent="0.2">
      <c r="B14" s="42" t="s">
        <v>323</v>
      </c>
      <c r="C14" s="68">
        <v>45200</v>
      </c>
      <c r="D14" s="17">
        <v>15</v>
      </c>
      <c r="E14" s="17">
        <v>4.5</v>
      </c>
      <c r="F14" s="17">
        <v>1.3</v>
      </c>
      <c r="G14" s="19">
        <f>IF(E14=0,"",D14/E14)</f>
        <v>3.3333333333333335</v>
      </c>
      <c r="H14" s="19">
        <f>IF(F14=0,"",D14/F14)</f>
        <v>11.538461538461538</v>
      </c>
      <c r="I14" s="22">
        <v>0.3</v>
      </c>
    </row>
    <row r="15" spans="2:9" x14ac:dyDescent="0.2">
      <c r="B15" s="42" t="s">
        <v>324</v>
      </c>
      <c r="C15" s="68">
        <v>44986</v>
      </c>
      <c r="D15" s="17">
        <v>4.8</v>
      </c>
      <c r="E15" s="17">
        <v>1.3</v>
      </c>
      <c r="F15" s="17">
        <v>0.67</v>
      </c>
      <c r="G15" s="19">
        <f>IF(E15=0,"",D15/E15)</f>
        <v>3.6923076923076921</v>
      </c>
      <c r="H15" s="19">
        <f>IF(F15=0,"",D15/F15)</f>
        <v>7.1641791044776113</v>
      </c>
      <c r="I15" s="22">
        <v>0.23</v>
      </c>
    </row>
    <row r="16" spans="2:9" x14ac:dyDescent="0.2">
      <c r="B16" s="42" t="s">
        <v>327</v>
      </c>
      <c r="C16" s="68">
        <v>44593</v>
      </c>
      <c r="D16" s="17">
        <v>10.7</v>
      </c>
      <c r="E16" s="17">
        <v>1.6</v>
      </c>
      <c r="F16" s="17">
        <v>1.02</v>
      </c>
      <c r="G16" s="19">
        <f>IF(E16=0,"",D16/E16)</f>
        <v>6.6874999999999991</v>
      </c>
      <c r="H16" s="19">
        <f>IF(F16=0,"",D16/F16)</f>
        <v>10.490196078431371</v>
      </c>
      <c r="I16" s="22">
        <v>0.01</v>
      </c>
    </row>
    <row r="17" spans="2:9" x14ac:dyDescent="0.2">
      <c r="B17" s="42" t="s">
        <v>325</v>
      </c>
      <c r="C17" s="68">
        <v>44958</v>
      </c>
      <c r="D17" s="17">
        <v>0.82</v>
      </c>
      <c r="E17" s="17">
        <v>0</v>
      </c>
      <c r="F17" s="17">
        <v>0</v>
      </c>
      <c r="G17" s="69" t="s">
        <v>236</v>
      </c>
      <c r="H17" s="69" t="s">
        <v>326</v>
      </c>
      <c r="I17" s="22">
        <v>0.45</v>
      </c>
    </row>
    <row r="18" spans="2:9" x14ac:dyDescent="0.2">
      <c r="B18" s="42" t="s">
        <v>69</v>
      </c>
      <c r="C18" s="42"/>
      <c r="D18" s="17"/>
      <c r="E18" s="17"/>
      <c r="F18" s="17"/>
      <c r="G18" s="19"/>
      <c r="H18" s="19"/>
      <c r="I18" s="42"/>
    </row>
    <row r="20" spans="2:9" ht="16" x14ac:dyDescent="0.2">
      <c r="B20" s="63" t="s">
        <v>70</v>
      </c>
      <c r="C20" s="64"/>
      <c r="D20" s="64"/>
      <c r="E20" s="64"/>
      <c r="F20" s="64"/>
      <c r="G20" s="64"/>
      <c r="H20" s="64"/>
      <c r="I20" s="64"/>
    </row>
    <row r="22" spans="2:9" x14ac:dyDescent="0.2">
      <c r="B22" s="43" t="s">
        <v>71</v>
      </c>
      <c r="C22" s="43" t="s">
        <v>66</v>
      </c>
      <c r="D22" s="43" t="s">
        <v>67</v>
      </c>
    </row>
    <row r="23" spans="2:9" x14ac:dyDescent="0.2">
      <c r="B23" t="s">
        <v>72</v>
      </c>
      <c r="C23" s="45">
        <f>IF(COUNT(G13:G16)=0,"",MEDIAN(G13:G16))</f>
        <v>3.5128205128205128</v>
      </c>
      <c r="D23" s="45">
        <f>IF(COUNT(H13:H16)=0,"",MEDIAN(H13:H16))</f>
        <v>8.8271875914544911</v>
      </c>
    </row>
    <row r="24" spans="2:9" x14ac:dyDescent="0.2">
      <c r="B24" t="s">
        <v>73</v>
      </c>
      <c r="C24" s="45">
        <f>IF(COUNT(G13:G16)=0,"",AVERAGE(G13:G16))</f>
        <v>3.6512582293832292</v>
      </c>
      <c r="D24" s="45">
        <f>IF(COUNT(H13:H16)=0,"",AVERAGE(H13:H16))</f>
        <v>8.6732091803426314</v>
      </c>
    </row>
    <row r="25" spans="2:9" x14ac:dyDescent="0.2">
      <c r="B25" s="1" t="s">
        <v>322</v>
      </c>
      <c r="C25" s="45">
        <f>G12</f>
        <v>7.1428571428571432</v>
      </c>
      <c r="D25" s="45">
        <f>H12</f>
        <v>4.1916167664670656</v>
      </c>
    </row>
    <row r="26" spans="2:9" x14ac:dyDescent="0.2">
      <c r="B26" s="39" t="s">
        <v>74</v>
      </c>
      <c r="C26" s="29">
        <f>IF(OR(C23="",C25=""),"",(C25-C23)/C23)</f>
        <v>1.0333680917622525</v>
      </c>
      <c r="D26" s="29">
        <f>IF(OR(D23="",D25=""),"",(D25-D23)/D23)</f>
        <v>-0.52514697087383455</v>
      </c>
    </row>
    <row r="28" spans="2:9" ht="16" x14ac:dyDescent="0.2">
      <c r="B28" s="63" t="s">
        <v>75</v>
      </c>
      <c r="C28" s="52"/>
      <c r="D28" s="52"/>
      <c r="E28" s="52"/>
      <c r="F28" s="52"/>
      <c r="G28" s="52"/>
      <c r="H28" s="52"/>
      <c r="I28" s="52"/>
    </row>
    <row r="30" spans="2:9" x14ac:dyDescent="0.2">
      <c r="B30" s="55" t="s">
        <v>328</v>
      </c>
      <c r="C30" s="52"/>
      <c r="D30" s="52"/>
      <c r="E30" s="52"/>
      <c r="F30" s="52"/>
      <c r="G30" s="52"/>
      <c r="H30" s="52"/>
      <c r="I30" s="52"/>
    </row>
    <row r="31" spans="2:9" x14ac:dyDescent="0.2">
      <c r="B31" s="65" t="s">
        <v>330</v>
      </c>
      <c r="C31" s="52"/>
      <c r="D31" s="52"/>
      <c r="E31" s="52"/>
      <c r="F31" s="52"/>
      <c r="G31" s="52"/>
      <c r="H31" s="52"/>
      <c r="I31" s="52"/>
    </row>
    <row r="32" spans="2:9" x14ac:dyDescent="0.2">
      <c r="B32" s="52"/>
      <c r="C32" s="52"/>
      <c r="D32" s="52"/>
      <c r="E32" s="52"/>
      <c r="F32" s="52"/>
      <c r="G32" s="52"/>
      <c r="H32" s="52"/>
      <c r="I32" s="52"/>
    </row>
    <row r="33" spans="2:9" x14ac:dyDescent="0.2">
      <c r="B33" s="52"/>
      <c r="C33" s="52"/>
      <c r="D33" s="52"/>
      <c r="E33" s="52"/>
      <c r="F33" s="52"/>
      <c r="G33" s="52"/>
      <c r="H33" s="52"/>
      <c r="I33" s="52"/>
    </row>
    <row r="35" spans="2:9" x14ac:dyDescent="0.2">
      <c r="B35" s="55" t="s">
        <v>329</v>
      </c>
      <c r="C35" s="52"/>
      <c r="D35" s="52"/>
      <c r="E35" s="52"/>
      <c r="F35" s="52"/>
      <c r="G35" s="52"/>
      <c r="H35" s="52"/>
      <c r="I35" s="52"/>
    </row>
    <row r="36" spans="2:9" x14ac:dyDescent="0.2">
      <c r="B36" s="65" t="s">
        <v>331</v>
      </c>
      <c r="C36" s="52"/>
      <c r="D36" s="52"/>
      <c r="E36" s="52"/>
      <c r="F36" s="52"/>
      <c r="G36" s="52"/>
      <c r="H36" s="52"/>
      <c r="I36" s="52"/>
    </row>
    <row r="37" spans="2:9" x14ac:dyDescent="0.2">
      <c r="B37" s="52"/>
      <c r="C37" s="52"/>
      <c r="D37" s="52"/>
      <c r="E37" s="52"/>
      <c r="F37" s="52"/>
      <c r="G37" s="52"/>
      <c r="H37" s="52"/>
      <c r="I37" s="52"/>
    </row>
    <row r="38" spans="2:9" x14ac:dyDescent="0.2">
      <c r="B38" s="52"/>
      <c r="C38" s="52"/>
      <c r="D38" s="52"/>
      <c r="E38" s="52"/>
      <c r="F38" s="52"/>
      <c r="G38" s="52"/>
      <c r="H38" s="52"/>
      <c r="I38" s="52"/>
    </row>
    <row r="40" spans="2:9" x14ac:dyDescent="0.2">
      <c r="B40" s="59" t="s">
        <v>76</v>
      </c>
      <c r="C40" s="52"/>
      <c r="D40" s="52"/>
      <c r="E40" s="52"/>
      <c r="F40" s="52"/>
      <c r="G40" s="52"/>
      <c r="H40" s="52"/>
      <c r="I40" s="52"/>
    </row>
    <row r="41" spans="2:9" x14ac:dyDescent="0.2">
      <c r="B41" s="52"/>
      <c r="C41" s="52"/>
      <c r="D41" s="52"/>
      <c r="E41" s="52"/>
      <c r="F41" s="52"/>
      <c r="G41" s="52"/>
      <c r="H41" s="52"/>
      <c r="I41" s="52"/>
    </row>
    <row r="43" spans="2:9" x14ac:dyDescent="0.2">
      <c r="B43" s="60" t="s">
        <v>77</v>
      </c>
      <c r="C43" s="60"/>
      <c r="D43" s="60"/>
      <c r="E43" s="60"/>
      <c r="F43" s="60"/>
      <c r="G43" s="60"/>
      <c r="H43" s="60"/>
      <c r="I43" s="60"/>
    </row>
    <row r="45" spans="2:9" x14ac:dyDescent="0.2">
      <c r="B45" s="39" t="s">
        <v>78</v>
      </c>
    </row>
    <row r="46" spans="2:9" x14ac:dyDescent="0.2">
      <c r="B46" t="s">
        <v>79</v>
      </c>
    </row>
    <row r="47" spans="2:9" x14ac:dyDescent="0.2">
      <c r="B47" t="s">
        <v>80</v>
      </c>
    </row>
    <row r="48" spans="2:9" x14ac:dyDescent="0.2">
      <c r="B48" t="s">
        <v>81</v>
      </c>
    </row>
    <row r="50" spans="2:2" x14ac:dyDescent="0.2">
      <c r="B50" s="39" t="s">
        <v>82</v>
      </c>
    </row>
    <row r="51" spans="2:2" x14ac:dyDescent="0.2">
      <c r="B51" t="s">
        <v>83</v>
      </c>
    </row>
    <row r="52" spans="2:2" x14ac:dyDescent="0.2">
      <c r="B52" t="s">
        <v>84</v>
      </c>
    </row>
    <row r="53" spans="2:2" x14ac:dyDescent="0.2">
      <c r="B53" t="s">
        <v>85</v>
      </c>
    </row>
    <row r="54" spans="2:2" x14ac:dyDescent="0.2">
      <c r="B54" t="s">
        <v>86</v>
      </c>
    </row>
    <row r="58" spans="2:2" ht="30" customHeight="1" x14ac:dyDescent="0.2"/>
    <row r="59" spans="2:2" ht="30" customHeight="1" x14ac:dyDescent="0.2"/>
    <row r="62" spans="2:2" ht="30" customHeight="1" x14ac:dyDescent="0.2"/>
    <row r="63" spans="2:2" ht="30" customHeight="1" x14ac:dyDescent="0.2"/>
    <row r="66" ht="30" customHeight="1" x14ac:dyDescent="0.2"/>
    <row r="67" ht="30" customHeight="1" x14ac:dyDescent="0.2"/>
  </sheetData>
  <mergeCells count="12">
    <mergeCell ref="B40:I41"/>
    <mergeCell ref="B43:I43"/>
    <mergeCell ref="B2:I2"/>
    <mergeCell ref="B4:I5"/>
    <mergeCell ref="B6:I7"/>
    <mergeCell ref="B9:I9"/>
    <mergeCell ref="B20:I20"/>
    <mergeCell ref="B28:I28"/>
    <mergeCell ref="B30:I30"/>
    <mergeCell ref="B31:I33"/>
    <mergeCell ref="B35:I35"/>
    <mergeCell ref="B36:I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EE4AE-3472-4D08-93F7-4C0FC789C03F}">
  <sheetPr>
    <tabColor rgb="FFFF9800"/>
  </sheetPr>
  <dimension ref="B2:G77"/>
  <sheetViews>
    <sheetView workbookViewId="0">
      <selection activeCell="B2" sqref="B2:G2"/>
    </sheetView>
  </sheetViews>
  <sheetFormatPr baseColWidth="10" defaultColWidth="8.83203125" defaultRowHeight="15" x14ac:dyDescent="0.2"/>
  <cols>
    <col min="1" max="1" width="1" customWidth="1"/>
    <col min="2" max="2" width="41.83203125" customWidth="1"/>
    <col min="3" max="6" width="22.83203125" customWidth="1"/>
    <col min="7" max="7" width="38.1640625" customWidth="1"/>
    <col min="8" max="8" width="3.83203125" customWidth="1"/>
    <col min="9" max="12" width="19" customWidth="1"/>
  </cols>
  <sheetData>
    <row r="2" spans="2:7" ht="35" customHeight="1" x14ac:dyDescent="0.3">
      <c r="B2" s="61" t="s">
        <v>87</v>
      </c>
      <c r="C2" s="52"/>
      <c r="D2" s="52"/>
      <c r="E2" s="52"/>
      <c r="F2" s="52"/>
      <c r="G2" s="52"/>
    </row>
    <row r="4" spans="2:7" ht="25" customHeight="1" x14ac:dyDescent="0.2">
      <c r="B4" s="62" t="s">
        <v>88</v>
      </c>
      <c r="C4" s="52"/>
      <c r="D4" s="52"/>
      <c r="E4" s="52"/>
      <c r="F4" s="52"/>
      <c r="G4" s="52"/>
    </row>
    <row r="5" spans="2:7" ht="25" customHeight="1" x14ac:dyDescent="0.2">
      <c r="B5" s="52"/>
      <c r="C5" s="52"/>
      <c r="D5" s="52"/>
      <c r="E5" s="52"/>
      <c r="F5" s="52"/>
      <c r="G5" s="52"/>
    </row>
    <row r="6" spans="2:7" x14ac:dyDescent="0.2">
      <c r="B6" s="62" t="s">
        <v>89</v>
      </c>
      <c r="C6" s="52"/>
      <c r="D6" s="52"/>
      <c r="E6" s="52"/>
      <c r="F6" s="52"/>
      <c r="G6" s="52"/>
    </row>
    <row r="7" spans="2:7" x14ac:dyDescent="0.2">
      <c r="B7" s="52"/>
      <c r="C7" s="52"/>
      <c r="D7" s="52"/>
      <c r="E7" s="52"/>
      <c r="F7" s="52"/>
      <c r="G7" s="52"/>
    </row>
    <row r="9" spans="2:7" ht="16" x14ac:dyDescent="0.2">
      <c r="B9" s="63" t="s">
        <v>90</v>
      </c>
      <c r="C9" s="52"/>
      <c r="D9" s="52"/>
      <c r="E9" s="52"/>
      <c r="F9" s="52"/>
      <c r="G9" s="52"/>
    </row>
    <row r="11" spans="2:7" x14ac:dyDescent="0.2">
      <c r="B11" s="43" t="s">
        <v>91</v>
      </c>
      <c r="C11" s="43" t="s">
        <v>92</v>
      </c>
      <c r="D11" s="43" t="s">
        <v>93</v>
      </c>
      <c r="E11" s="43" t="s">
        <v>94</v>
      </c>
      <c r="F11" s="43" t="s">
        <v>95</v>
      </c>
      <c r="G11" s="43" t="s">
        <v>96</v>
      </c>
    </row>
    <row r="12" spans="2:7" x14ac:dyDescent="0.2">
      <c r="B12" s="42" t="s">
        <v>97</v>
      </c>
      <c r="C12" s="20">
        <v>150</v>
      </c>
      <c r="D12" s="20">
        <v>400</v>
      </c>
      <c r="E12" s="20">
        <v>600</v>
      </c>
      <c r="F12" s="15">
        <f>IF(OR(C12="",$E$17=""),"",C12/$E$17)</f>
        <v>8.5714285714285715E-2</v>
      </c>
      <c r="G12" s="42" t="s">
        <v>98</v>
      </c>
    </row>
    <row r="13" spans="2:7" x14ac:dyDescent="0.2">
      <c r="B13" s="42" t="s">
        <v>99</v>
      </c>
      <c r="C13" s="20">
        <v>200</v>
      </c>
      <c r="D13" s="20">
        <v>500</v>
      </c>
      <c r="E13" s="20">
        <v>800</v>
      </c>
      <c r="F13" s="15">
        <f>IF(OR(C13="",$E$17=""),"",C13/$E$17)</f>
        <v>0.11428571428571428</v>
      </c>
      <c r="G13" s="42" t="s">
        <v>100</v>
      </c>
    </row>
    <row r="14" spans="2:7" x14ac:dyDescent="0.2">
      <c r="B14" s="42" t="s">
        <v>101</v>
      </c>
      <c r="C14" s="20">
        <v>75</v>
      </c>
      <c r="D14" s="20">
        <v>150</v>
      </c>
      <c r="E14" s="20">
        <v>200</v>
      </c>
      <c r="F14" s="15">
        <f>IF(OR(C14="",$E$17=""),"",C14/$E$17)</f>
        <v>4.2857142857142858E-2</v>
      </c>
      <c r="G14" s="42" t="s">
        <v>102</v>
      </c>
    </row>
    <row r="15" spans="2:7" x14ac:dyDescent="0.2">
      <c r="B15" s="42" t="s">
        <v>103</v>
      </c>
      <c r="C15" s="20">
        <v>50</v>
      </c>
      <c r="D15" s="20">
        <v>100</v>
      </c>
      <c r="E15" s="20">
        <v>150</v>
      </c>
      <c r="F15" s="15">
        <f>IF(OR(C15="",$E$17=""),"",C15/$E$17)</f>
        <v>2.8571428571428571E-2</v>
      </c>
      <c r="G15" s="42" t="s">
        <v>104</v>
      </c>
    </row>
    <row r="16" spans="2:7" x14ac:dyDescent="0.2">
      <c r="B16" s="42" t="s">
        <v>105</v>
      </c>
      <c r="C16" s="20"/>
      <c r="D16" s="20"/>
      <c r="E16" s="20"/>
      <c r="F16" s="22"/>
      <c r="G16" s="42"/>
    </row>
    <row r="17" spans="2:7" x14ac:dyDescent="0.2">
      <c r="B17" s="1" t="s">
        <v>106</v>
      </c>
      <c r="C17" s="21">
        <f>SUM(C12:C16)</f>
        <v>475</v>
      </c>
      <c r="D17" s="21">
        <f>SUM(D12:D16)</f>
        <v>1150</v>
      </c>
      <c r="E17" s="21">
        <f>SUM(E12:E16)</f>
        <v>1750</v>
      </c>
      <c r="F17" s="23"/>
      <c r="G17" s="1"/>
    </row>
    <row r="19" spans="2:7" ht="16" x14ac:dyDescent="0.2">
      <c r="B19" s="63" t="s">
        <v>107</v>
      </c>
      <c r="C19" s="64"/>
      <c r="D19" s="64"/>
      <c r="E19" s="64"/>
      <c r="F19" s="64"/>
      <c r="G19" s="64"/>
    </row>
    <row r="21" spans="2:7" x14ac:dyDescent="0.2">
      <c r="B21" s="43" t="s">
        <v>108</v>
      </c>
      <c r="C21" s="43" t="s">
        <v>92</v>
      </c>
      <c r="D21" s="43" t="s">
        <v>93</v>
      </c>
      <c r="E21" s="43" t="s">
        <v>94</v>
      </c>
      <c r="F21" s="43" t="s">
        <v>109</v>
      </c>
      <c r="G21" s="43" t="s">
        <v>96</v>
      </c>
    </row>
    <row r="22" spans="2:7" x14ac:dyDescent="0.2">
      <c r="B22" s="42" t="s">
        <v>110</v>
      </c>
      <c r="C22" s="20">
        <v>25</v>
      </c>
      <c r="D22" s="20">
        <v>75</v>
      </c>
      <c r="E22" s="20">
        <v>150</v>
      </c>
      <c r="F22" s="22">
        <v>0.6</v>
      </c>
      <c r="G22" s="42" t="s">
        <v>111</v>
      </c>
    </row>
    <row r="23" spans="2:7" x14ac:dyDescent="0.2">
      <c r="B23" s="42" t="s">
        <v>112</v>
      </c>
      <c r="C23" s="20">
        <v>10</v>
      </c>
      <c r="D23" s="20">
        <v>50</v>
      </c>
      <c r="E23" s="20">
        <v>100</v>
      </c>
      <c r="F23" s="22">
        <v>0.5</v>
      </c>
      <c r="G23" s="42" t="s">
        <v>113</v>
      </c>
    </row>
    <row r="24" spans="2:7" x14ac:dyDescent="0.2">
      <c r="B24" s="42" t="s">
        <v>114</v>
      </c>
      <c r="C24" s="20">
        <v>5</v>
      </c>
      <c r="D24" s="20">
        <v>25</v>
      </c>
      <c r="E24" s="20">
        <v>75</v>
      </c>
      <c r="F24" s="22">
        <v>0.4</v>
      </c>
      <c r="G24" s="42" t="s">
        <v>115</v>
      </c>
    </row>
    <row r="25" spans="2:7" x14ac:dyDescent="0.2">
      <c r="B25" s="42" t="s">
        <v>116</v>
      </c>
      <c r="C25" s="20"/>
      <c r="D25" s="20"/>
      <c r="E25" s="20"/>
      <c r="F25" s="22"/>
      <c r="G25" s="42"/>
    </row>
    <row r="26" spans="2:7" x14ac:dyDescent="0.2">
      <c r="B26" s="1" t="s">
        <v>117</v>
      </c>
      <c r="C26" s="21">
        <f>SUM(C22:C25)</f>
        <v>40</v>
      </c>
      <c r="D26" s="21">
        <f>SUM(D22:D25)</f>
        <v>150</v>
      </c>
      <c r="E26" s="21">
        <f>SUM(E22:E25)</f>
        <v>325</v>
      </c>
      <c r="F26" s="1"/>
      <c r="G26" s="1"/>
    </row>
    <row r="27" spans="2:7" x14ac:dyDescent="0.2">
      <c r="B27" s="3" t="s">
        <v>118</v>
      </c>
      <c r="C27" s="21">
        <f>SUMPRODUCT(C22:C25,F22:F25)</f>
        <v>22</v>
      </c>
      <c r="D27" s="21">
        <f>SUMPRODUCT(D22:D25,F22:F25)</f>
        <v>80</v>
      </c>
      <c r="E27" s="21">
        <f>SUMPRODUCT(E22:E25,F22:F25)</f>
        <v>170</v>
      </c>
      <c r="F27" s="3"/>
      <c r="G27" s="3"/>
    </row>
    <row r="29" spans="2:7" ht="16" x14ac:dyDescent="0.2">
      <c r="B29" s="63" t="s">
        <v>119</v>
      </c>
      <c r="C29" s="52"/>
      <c r="D29" s="52"/>
      <c r="E29" s="52"/>
      <c r="F29" s="52"/>
      <c r="G29" s="52"/>
    </row>
    <row r="31" spans="2:7" x14ac:dyDescent="0.2">
      <c r="B31" s="43" t="s">
        <v>71</v>
      </c>
      <c r="C31" s="43" t="s">
        <v>120</v>
      </c>
      <c r="D31" s="43" t="s">
        <v>121</v>
      </c>
    </row>
    <row r="32" spans="2:7" x14ac:dyDescent="0.2">
      <c r="B32" t="s">
        <v>122</v>
      </c>
      <c r="C32" s="46">
        <f>E17</f>
        <v>1750</v>
      </c>
      <c r="D32" t="s">
        <v>123</v>
      </c>
    </row>
    <row r="33" spans="2:7" x14ac:dyDescent="0.2">
      <c r="B33" t="s">
        <v>124</v>
      </c>
      <c r="C33" s="46">
        <f>E27</f>
        <v>170</v>
      </c>
      <c r="D33" t="s">
        <v>125</v>
      </c>
    </row>
    <row r="34" spans="2:7" x14ac:dyDescent="0.2">
      <c r="B34" t="s">
        <v>126</v>
      </c>
      <c r="C34" s="22">
        <v>0.15</v>
      </c>
      <c r="D34" t="s">
        <v>127</v>
      </c>
    </row>
    <row r="35" spans="2:7" x14ac:dyDescent="0.2">
      <c r="B35" t="s">
        <v>128</v>
      </c>
      <c r="C35" s="46">
        <f>IF(OR(C33="",C34=""),"",C33*C34)</f>
        <v>25.5</v>
      </c>
      <c r="D35" t="s">
        <v>129</v>
      </c>
    </row>
    <row r="36" spans="2:7" x14ac:dyDescent="0.2">
      <c r="B36" s="1" t="s">
        <v>130</v>
      </c>
      <c r="C36" s="21">
        <f>IF(OR(C32="",C35=""),"",C32+C35)</f>
        <v>1775.5</v>
      </c>
      <c r="D36" s="1"/>
    </row>
    <row r="38" spans="2:7" x14ac:dyDescent="0.2">
      <c r="B38" t="s">
        <v>131</v>
      </c>
      <c r="C38" s="19">
        <v>10</v>
      </c>
      <c r="D38" t="s">
        <v>132</v>
      </c>
    </row>
    <row r="39" spans="2:7" x14ac:dyDescent="0.2">
      <c r="B39" s="1" t="s">
        <v>133</v>
      </c>
      <c r="C39" s="21">
        <f>IF(OR(C36="",C38=""),"",C36*C38)</f>
        <v>17755</v>
      </c>
      <c r="D39" s="1"/>
    </row>
    <row r="41" spans="2:7" ht="16" x14ac:dyDescent="0.2">
      <c r="B41" s="63" t="s">
        <v>134</v>
      </c>
      <c r="C41" s="52"/>
      <c r="D41" s="52"/>
      <c r="E41" s="52"/>
      <c r="F41" s="52"/>
      <c r="G41" s="52"/>
    </row>
    <row r="43" spans="2:7" x14ac:dyDescent="0.2">
      <c r="B43" s="55" t="s">
        <v>135</v>
      </c>
      <c r="C43" s="52"/>
      <c r="D43" s="52"/>
      <c r="E43" s="52"/>
      <c r="F43" s="52"/>
      <c r="G43" s="52"/>
    </row>
    <row r="44" spans="2:7" x14ac:dyDescent="0.2">
      <c r="B44" s="65" t="s">
        <v>136</v>
      </c>
      <c r="C44" s="52"/>
      <c r="D44" s="52"/>
      <c r="E44" s="52"/>
      <c r="F44" s="52"/>
      <c r="G44" s="52"/>
    </row>
    <row r="45" spans="2:7" x14ac:dyDescent="0.2">
      <c r="B45" s="52"/>
      <c r="C45" s="52"/>
      <c r="D45" s="52"/>
      <c r="E45" s="52"/>
      <c r="F45" s="52"/>
      <c r="G45" s="52"/>
    </row>
    <row r="46" spans="2:7" x14ac:dyDescent="0.2">
      <c r="B46" s="52"/>
      <c r="C46" s="52"/>
      <c r="D46" s="52"/>
      <c r="E46" s="52"/>
      <c r="F46" s="52"/>
      <c r="G46" s="52"/>
    </row>
    <row r="48" spans="2:7" x14ac:dyDescent="0.2">
      <c r="B48" s="55" t="s">
        <v>137</v>
      </c>
      <c r="C48" s="52"/>
      <c r="D48" s="52"/>
      <c r="E48" s="52"/>
      <c r="F48" s="52"/>
      <c r="G48" s="52"/>
    </row>
    <row r="49" spans="2:7" x14ac:dyDescent="0.2">
      <c r="B49" s="65" t="s">
        <v>138</v>
      </c>
      <c r="C49" s="52"/>
      <c r="D49" s="52"/>
      <c r="E49" s="52"/>
      <c r="F49" s="52"/>
      <c r="G49" s="52"/>
    </row>
    <row r="50" spans="2:7" x14ac:dyDescent="0.2">
      <c r="B50" s="52"/>
      <c r="C50" s="52"/>
      <c r="D50" s="52"/>
      <c r="E50" s="52"/>
      <c r="F50" s="52"/>
      <c r="G50" s="52"/>
    </row>
    <row r="51" spans="2:7" x14ac:dyDescent="0.2">
      <c r="B51" s="52"/>
      <c r="C51" s="52"/>
      <c r="D51" s="52"/>
      <c r="E51" s="52"/>
      <c r="F51" s="52"/>
      <c r="G51" s="52"/>
    </row>
    <row r="53" spans="2:7" x14ac:dyDescent="0.2">
      <c r="B53" s="59" t="s">
        <v>139</v>
      </c>
      <c r="C53" s="52"/>
      <c r="D53" s="52"/>
      <c r="E53" s="52"/>
      <c r="F53" s="52"/>
      <c r="G53" s="52"/>
    </row>
    <row r="54" spans="2:7" x14ac:dyDescent="0.2">
      <c r="B54" s="52"/>
      <c r="C54" s="52"/>
      <c r="D54" s="52"/>
      <c r="E54" s="52"/>
      <c r="F54" s="52"/>
      <c r="G54" s="52"/>
    </row>
    <row r="68" ht="30" customHeight="1" x14ac:dyDescent="0.2"/>
    <row r="69" ht="30" customHeight="1" x14ac:dyDescent="0.2"/>
    <row r="72" ht="30" customHeight="1" x14ac:dyDescent="0.2"/>
    <row r="73" ht="30" customHeight="1" x14ac:dyDescent="0.2"/>
    <row r="76" ht="30" customHeight="1" x14ac:dyDescent="0.2"/>
    <row r="77" ht="30" customHeight="1" x14ac:dyDescent="0.2"/>
  </sheetData>
  <mergeCells count="12">
    <mergeCell ref="B6:G7"/>
    <mergeCell ref="B9:G9"/>
    <mergeCell ref="B29:G29"/>
    <mergeCell ref="B41:G41"/>
    <mergeCell ref="B2:G2"/>
    <mergeCell ref="B4:G5"/>
    <mergeCell ref="B19:G19"/>
    <mergeCell ref="B43:G43"/>
    <mergeCell ref="B44:G46"/>
    <mergeCell ref="B48:G48"/>
    <mergeCell ref="B49:G51"/>
    <mergeCell ref="B53:G5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2BDEB-75C9-4895-BBE8-75866FAE4F05}">
  <sheetPr>
    <tabColor rgb="FF9C27B0"/>
  </sheetPr>
  <dimension ref="B2:F82"/>
  <sheetViews>
    <sheetView tabSelected="1" topLeftCell="A43" workbookViewId="0">
      <selection activeCell="H13" sqref="H13"/>
    </sheetView>
  </sheetViews>
  <sheetFormatPr baseColWidth="10" defaultColWidth="8.83203125" defaultRowHeight="15" x14ac:dyDescent="0.2"/>
  <cols>
    <col min="1" max="1" width="1" customWidth="1"/>
    <col min="2" max="2" width="45.6640625" customWidth="1"/>
    <col min="3" max="5" width="22.83203125" customWidth="1"/>
    <col min="6" max="6" width="34.33203125" customWidth="1"/>
    <col min="7" max="7" width="16.1640625" customWidth="1"/>
  </cols>
  <sheetData>
    <row r="2" spans="2:6" ht="35" customHeight="1" x14ac:dyDescent="0.3">
      <c r="B2" s="61" t="s">
        <v>140</v>
      </c>
      <c r="C2" s="52"/>
      <c r="D2" s="52"/>
      <c r="E2" s="52"/>
      <c r="F2" s="52"/>
    </row>
    <row r="4" spans="2:6" ht="25" customHeight="1" x14ac:dyDescent="0.2">
      <c r="B4" s="62" t="s">
        <v>141</v>
      </c>
      <c r="C4" s="52"/>
      <c r="D4" s="52"/>
      <c r="E4" s="52"/>
      <c r="F4" s="52"/>
    </row>
    <row r="5" spans="2:6" ht="25" customHeight="1" x14ac:dyDescent="0.2">
      <c r="B5" s="52"/>
      <c r="C5" s="52"/>
      <c r="D5" s="52"/>
      <c r="E5" s="52"/>
      <c r="F5" s="52"/>
    </row>
    <row r="6" spans="2:6" x14ac:dyDescent="0.2">
      <c r="B6" s="62" t="s">
        <v>142</v>
      </c>
      <c r="C6" s="52"/>
      <c r="D6" s="52"/>
      <c r="E6" s="52"/>
      <c r="F6" s="52"/>
    </row>
    <row r="7" spans="2:6" x14ac:dyDescent="0.2">
      <c r="B7" s="52"/>
      <c r="C7" s="52"/>
      <c r="D7" s="52"/>
      <c r="E7" s="52"/>
      <c r="F7" s="52"/>
    </row>
    <row r="9" spans="2:6" ht="16" x14ac:dyDescent="0.2">
      <c r="B9" s="63" t="s">
        <v>143</v>
      </c>
      <c r="C9" s="52"/>
      <c r="D9" s="52"/>
      <c r="E9" s="52"/>
      <c r="F9" s="52"/>
    </row>
    <row r="11" spans="2:6" x14ac:dyDescent="0.2">
      <c r="B11" s="66" t="s">
        <v>144</v>
      </c>
      <c r="C11" s="52"/>
      <c r="E11" s="66" t="s">
        <v>145</v>
      </c>
      <c r="F11" s="52"/>
    </row>
    <row r="12" spans="2:6" x14ac:dyDescent="0.2">
      <c r="B12" t="s">
        <v>146</v>
      </c>
      <c r="C12" s="24"/>
      <c r="E12" t="s">
        <v>147</v>
      </c>
      <c r="F12" s="24"/>
    </row>
    <row r="13" spans="2:6" x14ac:dyDescent="0.2">
      <c r="B13" t="s">
        <v>148</v>
      </c>
      <c r="C13" s="42"/>
      <c r="E13" t="s">
        <v>148</v>
      </c>
      <c r="F13" s="42"/>
    </row>
    <row r="14" spans="2:6" x14ac:dyDescent="0.2">
      <c r="B14" t="s">
        <v>149</v>
      </c>
      <c r="C14" s="46" t="str">
        <f>IF(OR(C12="",C13=""),"",C12*C13)</f>
        <v/>
      </c>
      <c r="E14" t="s">
        <v>150</v>
      </c>
      <c r="F14" s="46" t="str">
        <f>IF(OR(F12="",F13=""),"",F12*F13)</f>
        <v/>
      </c>
    </row>
    <row r="15" spans="2:6" x14ac:dyDescent="0.2">
      <c r="B15" t="s">
        <v>151</v>
      </c>
      <c r="C15" s="20"/>
      <c r="E15" t="s">
        <v>151</v>
      </c>
      <c r="F15" s="20"/>
    </row>
    <row r="16" spans="2:6" x14ac:dyDescent="0.2">
      <c r="B16" t="s">
        <v>152</v>
      </c>
      <c r="C16" s="25" t="str">
        <f>IF(OR(C15="",C13=""),"",C15/C13)</f>
        <v/>
      </c>
      <c r="E16" t="s">
        <v>153</v>
      </c>
      <c r="F16" s="25" t="str">
        <f>IF(OR(F15="",F13=""),"",F15/F13)</f>
        <v/>
      </c>
    </row>
    <row r="18" spans="2:6" ht="16" x14ac:dyDescent="0.2">
      <c r="B18" s="63" t="s">
        <v>154</v>
      </c>
      <c r="C18" s="52"/>
      <c r="D18" s="52"/>
      <c r="E18" s="52"/>
      <c r="F18" s="52"/>
    </row>
    <row r="20" spans="2:6" x14ac:dyDescent="0.2">
      <c r="B20" t="s">
        <v>155</v>
      </c>
      <c r="C20" s="22">
        <v>1</v>
      </c>
      <c r="D20" t="s">
        <v>156</v>
      </c>
    </row>
    <row r="21" spans="2:6" x14ac:dyDescent="0.2">
      <c r="B21" t="s">
        <v>157</v>
      </c>
      <c r="C21" s="13">
        <f>1-C20</f>
        <v>0</v>
      </c>
      <c r="D21" t="s">
        <v>158</v>
      </c>
    </row>
    <row r="22" spans="2:6" x14ac:dyDescent="0.2">
      <c r="B22" t="s">
        <v>159</v>
      </c>
      <c r="C22" s="47" t="str">
        <f>IF(OR(C20="",F14=""),"",C20*F14)</f>
        <v/>
      </c>
      <c r="D22" t="s">
        <v>160</v>
      </c>
    </row>
    <row r="23" spans="2:6" x14ac:dyDescent="0.2">
      <c r="B23" t="s">
        <v>161</v>
      </c>
      <c r="C23" s="47" t="str">
        <f>IF(OR(C21="",F14=""),"",C21*F14)</f>
        <v/>
      </c>
      <c r="D23" t="s">
        <v>162</v>
      </c>
    </row>
    <row r="24" spans="2:6" x14ac:dyDescent="0.2">
      <c r="B24" t="s">
        <v>163</v>
      </c>
      <c r="C24" s="47" t="str">
        <f>IF(OR(C23="",C12="",C23=0),"",C23/C12)</f>
        <v/>
      </c>
      <c r="D24" t="s">
        <v>164</v>
      </c>
    </row>
    <row r="26" spans="2:6" x14ac:dyDescent="0.2">
      <c r="B26" t="s">
        <v>165</v>
      </c>
      <c r="C26" s="26">
        <v>0.06</v>
      </c>
      <c r="D26" t="s">
        <v>166</v>
      </c>
    </row>
    <row r="27" spans="2:6" x14ac:dyDescent="0.2">
      <c r="B27" t="s">
        <v>167</v>
      </c>
      <c r="C27" s="26">
        <v>0.25</v>
      </c>
    </row>
    <row r="28" spans="2:6" x14ac:dyDescent="0.2">
      <c r="B28" t="s">
        <v>168</v>
      </c>
      <c r="C28" s="48">
        <f>IF(OR(C26="",C27=""),"",C26*(1-C27))</f>
        <v>4.4999999999999998E-2</v>
      </c>
    </row>
    <row r="30" spans="2:6" ht="16" x14ac:dyDescent="0.2">
      <c r="B30" s="63" t="s">
        <v>169</v>
      </c>
      <c r="C30" s="52"/>
      <c r="D30" s="52"/>
      <c r="E30" s="52"/>
      <c r="F30" s="52"/>
    </row>
    <row r="32" spans="2:6" x14ac:dyDescent="0.2">
      <c r="B32" s="43" t="s">
        <v>170</v>
      </c>
      <c r="C32" s="43" t="s">
        <v>92</v>
      </c>
      <c r="D32" s="43" t="s">
        <v>121</v>
      </c>
    </row>
    <row r="33" spans="2:6" x14ac:dyDescent="0.2">
      <c r="B33" t="s">
        <v>171</v>
      </c>
      <c r="C33" s="46">
        <f>C15</f>
        <v>0</v>
      </c>
    </row>
    <row r="34" spans="2:6" x14ac:dyDescent="0.2">
      <c r="B34" t="s">
        <v>172</v>
      </c>
      <c r="C34" s="46">
        <f>F15</f>
        <v>0</v>
      </c>
    </row>
    <row r="35" spans="2:6" x14ac:dyDescent="0.2">
      <c r="B35" t="s">
        <v>173</v>
      </c>
      <c r="C35" s="20">
        <v>350</v>
      </c>
      <c r="D35" t="s">
        <v>174</v>
      </c>
    </row>
    <row r="36" spans="2:6" x14ac:dyDescent="0.2">
      <c r="B36" t="s">
        <v>175</v>
      </c>
      <c r="C36" s="46" t="str">
        <f>IF(OR(C22="",C28=""),"",C22*C28)</f>
        <v/>
      </c>
      <c r="D36" t="s">
        <v>176</v>
      </c>
    </row>
    <row r="37" spans="2:6" x14ac:dyDescent="0.2">
      <c r="B37" t="s">
        <v>177</v>
      </c>
      <c r="C37" s="20">
        <v>0</v>
      </c>
      <c r="D37" t="s">
        <v>178</v>
      </c>
    </row>
    <row r="38" spans="2:6" x14ac:dyDescent="0.2">
      <c r="B38" s="1" t="s">
        <v>179</v>
      </c>
      <c r="C38" s="21" t="e">
        <f>IF(OR(C33="",C34=""),"",C33+C34+C35-C36-C37)</f>
        <v>#VALUE!</v>
      </c>
      <c r="D38" s="1"/>
    </row>
    <row r="40" spans="2:6" x14ac:dyDescent="0.2">
      <c r="B40" t="s">
        <v>180</v>
      </c>
      <c r="C40" s="47">
        <f>C13</f>
        <v>0</v>
      </c>
    </row>
    <row r="41" spans="2:6" x14ac:dyDescent="0.2">
      <c r="B41" t="s">
        <v>181</v>
      </c>
      <c r="C41" s="47">
        <f>IF(C24="",0,C24)</f>
        <v>0</v>
      </c>
    </row>
    <row r="42" spans="2:6" x14ac:dyDescent="0.2">
      <c r="B42" s="1" t="s">
        <v>182</v>
      </c>
      <c r="C42" s="27">
        <f>IF(C40="","",C40+C41)</f>
        <v>0</v>
      </c>
      <c r="D42" s="1"/>
    </row>
    <row r="44" spans="2:6" ht="16" x14ac:dyDescent="0.2">
      <c r="B44" s="63" t="s">
        <v>183</v>
      </c>
      <c r="C44" s="52"/>
      <c r="D44" s="52"/>
      <c r="E44" s="52"/>
      <c r="F44" s="52"/>
    </row>
    <row r="46" spans="2:6" x14ac:dyDescent="0.2">
      <c r="B46" t="s">
        <v>184</v>
      </c>
      <c r="C46" s="25" t="str">
        <f>C16</f>
        <v/>
      </c>
      <c r="D46" t="s">
        <v>185</v>
      </c>
    </row>
    <row r="47" spans="2:6" x14ac:dyDescent="0.2">
      <c r="B47" t="s">
        <v>186</v>
      </c>
      <c r="C47" s="25" t="e">
        <f>IF(OR(C38="",C42=""),"",C38/C42)</f>
        <v>#VALUE!</v>
      </c>
      <c r="D47" t="s">
        <v>187</v>
      </c>
    </row>
    <row r="48" spans="2:6" x14ac:dyDescent="0.2">
      <c r="B48" s="39" t="s">
        <v>188</v>
      </c>
      <c r="C48" s="36" t="e">
        <f>IF(OR(C47="",C46=""),"",C47-C46)</f>
        <v>#VALUE!</v>
      </c>
      <c r="D48" s="39"/>
    </row>
    <row r="49" spans="2:6" x14ac:dyDescent="0.2">
      <c r="B49" s="1" t="s">
        <v>189</v>
      </c>
      <c r="C49" s="29" t="e">
        <f>IF(OR(C47="",C46="",C46=0),"",C48/C46)</f>
        <v>#VALUE!</v>
      </c>
      <c r="D49" s="1"/>
    </row>
    <row r="51" spans="2:6" ht="19" x14ac:dyDescent="0.25">
      <c r="B51" s="28" t="s">
        <v>190</v>
      </c>
      <c r="C51" s="28" t="e">
        <f>IF(C48="","",IF(C48&gt;0,"ACCRETIVE",IF(C48&lt;0,"DILUTIVE","NEUTRAL")))</f>
        <v>#VALUE!</v>
      </c>
      <c r="D51" s="28"/>
    </row>
    <row r="53" spans="2:6" ht="16" x14ac:dyDescent="0.2">
      <c r="B53" s="63" t="s">
        <v>191</v>
      </c>
      <c r="C53" s="52"/>
      <c r="D53" s="52"/>
      <c r="E53" s="52"/>
      <c r="F53" s="52"/>
    </row>
    <row r="55" spans="2:6" x14ac:dyDescent="0.2">
      <c r="B55" s="55" t="s">
        <v>192</v>
      </c>
      <c r="C55" s="52"/>
      <c r="D55" s="52"/>
      <c r="E55" s="52"/>
      <c r="F55" s="52"/>
    </row>
    <row r="56" spans="2:6" x14ac:dyDescent="0.2">
      <c r="B56" s="65" t="s">
        <v>193</v>
      </c>
      <c r="C56" s="52"/>
      <c r="D56" s="52"/>
      <c r="E56" s="52"/>
      <c r="F56" s="52"/>
    </row>
    <row r="57" spans="2:6" x14ac:dyDescent="0.2">
      <c r="B57" s="52"/>
      <c r="C57" s="52"/>
      <c r="D57" s="52"/>
      <c r="E57" s="52"/>
      <c r="F57" s="52"/>
    </row>
    <row r="58" spans="2:6" x14ac:dyDescent="0.2">
      <c r="B58" s="52"/>
      <c r="C58" s="52"/>
      <c r="D58" s="52"/>
      <c r="E58" s="52"/>
      <c r="F58" s="52"/>
    </row>
    <row r="60" spans="2:6" x14ac:dyDescent="0.2">
      <c r="B60" s="55" t="s">
        <v>194</v>
      </c>
      <c r="C60" s="52"/>
      <c r="D60" s="52"/>
      <c r="E60" s="52"/>
      <c r="F60" s="52"/>
    </row>
    <row r="61" spans="2:6" x14ac:dyDescent="0.2">
      <c r="B61" s="65" t="s">
        <v>195</v>
      </c>
      <c r="C61" s="52"/>
      <c r="D61" s="52"/>
      <c r="E61" s="52"/>
      <c r="F61" s="52"/>
    </row>
    <row r="62" spans="2:6" x14ac:dyDescent="0.2">
      <c r="B62" s="52"/>
      <c r="C62" s="52"/>
      <c r="D62" s="52"/>
      <c r="E62" s="52"/>
      <c r="F62" s="52"/>
    </row>
    <row r="63" spans="2:6" ht="25" customHeight="1" x14ac:dyDescent="0.2">
      <c r="B63" s="52"/>
      <c r="C63" s="52"/>
      <c r="D63" s="52"/>
      <c r="E63" s="52"/>
      <c r="F63" s="52"/>
    </row>
    <row r="64" spans="2:6" ht="25" customHeight="1" x14ac:dyDescent="0.2"/>
    <row r="65" spans="2:6" ht="25" customHeight="1" x14ac:dyDescent="0.2">
      <c r="B65" s="59" t="s">
        <v>196</v>
      </c>
      <c r="C65" s="52"/>
      <c r="D65" s="52"/>
      <c r="E65" s="52"/>
      <c r="F65" s="52"/>
    </row>
    <row r="66" spans="2:6" x14ac:dyDescent="0.2">
      <c r="B66" s="52"/>
      <c r="C66" s="52"/>
      <c r="D66" s="52"/>
      <c r="E66" s="52"/>
      <c r="F66" s="52"/>
    </row>
    <row r="68" spans="2:6" x14ac:dyDescent="0.2">
      <c r="B68" s="60" t="s">
        <v>197</v>
      </c>
      <c r="C68" s="60"/>
      <c r="D68" s="60"/>
      <c r="E68" s="60"/>
      <c r="F68" s="60"/>
    </row>
    <row r="70" spans="2:6" x14ac:dyDescent="0.2">
      <c r="B70" t="s">
        <v>198</v>
      </c>
      <c r="C70" s="42">
        <v>0.85</v>
      </c>
      <c r="D70" t="s">
        <v>199</v>
      </c>
    </row>
    <row r="71" spans="2:6" x14ac:dyDescent="0.2">
      <c r="B71" t="s">
        <v>200</v>
      </c>
      <c r="C71" s="48" t="str">
        <f>IF(OR(C70="",C12="",F12=""),"",(C70*C12/F12)-1)</f>
        <v/>
      </c>
      <c r="D71" t="s">
        <v>201</v>
      </c>
    </row>
    <row r="73" spans="2:6" x14ac:dyDescent="0.2">
      <c r="B73" s="39" t="s">
        <v>202</v>
      </c>
    </row>
    <row r="74" spans="2:6" x14ac:dyDescent="0.2">
      <c r="B74" t="s">
        <v>203</v>
      </c>
      <c r="C74" s="48" t="str">
        <f>IF(OR(C42="",C42=0),"",C40/C42)</f>
        <v/>
      </c>
      <c r="D74" t="e" cm="1">
        <f t="array" ref="D74" xml:space="preserve"> Acquirer Shares / Pro Forma Shares</f>
        <v>#NAME?</v>
      </c>
    </row>
    <row r="75" spans="2:6" x14ac:dyDescent="0.2">
      <c r="B75" t="s">
        <v>204</v>
      </c>
      <c r="C75" s="48" t="str">
        <f>IF(OR(C42="",C42=0),"",C41/C42)</f>
        <v/>
      </c>
      <c r="D75" t="e" cm="1">
        <f t="array" ref="D75" xml:space="preserve"> New Shares Issued / Pro Forma Shares</f>
        <v>#NAME?</v>
      </c>
    </row>
    <row r="77" spans="2:6" x14ac:dyDescent="0.2">
      <c r="B77" s="8" t="s">
        <v>205</v>
      </c>
    </row>
    <row r="79" spans="2:6" x14ac:dyDescent="0.2">
      <c r="B79" s="39" t="s">
        <v>206</v>
      </c>
    </row>
    <row r="80" spans="2:6" x14ac:dyDescent="0.2">
      <c r="B80" t="s">
        <v>207</v>
      </c>
    </row>
    <row r="81" spans="2:2" x14ac:dyDescent="0.2">
      <c r="B81" t="s">
        <v>208</v>
      </c>
    </row>
    <row r="82" spans="2:2" x14ac:dyDescent="0.2">
      <c r="B82" t="s">
        <v>209</v>
      </c>
    </row>
  </sheetData>
  <mergeCells count="16">
    <mergeCell ref="B68:F68"/>
    <mergeCell ref="B65:F66"/>
    <mergeCell ref="B2:F2"/>
    <mergeCell ref="B4:F5"/>
    <mergeCell ref="B6:F7"/>
    <mergeCell ref="B9:F9"/>
    <mergeCell ref="B11:C11"/>
    <mergeCell ref="E11:F11"/>
    <mergeCell ref="B18:F18"/>
    <mergeCell ref="B30:F30"/>
    <mergeCell ref="B44:F44"/>
    <mergeCell ref="B53:F53"/>
    <mergeCell ref="B55:F55"/>
    <mergeCell ref="B56:F58"/>
    <mergeCell ref="B60:F60"/>
    <mergeCell ref="B61:F6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731EF-7968-40EA-B43F-E6B038BE66FD}">
  <sheetPr>
    <tabColor rgb="FFF44336"/>
  </sheetPr>
  <dimension ref="B2:H78"/>
  <sheetViews>
    <sheetView workbookViewId="0">
      <selection activeCell="L18" sqref="L18"/>
    </sheetView>
  </sheetViews>
  <sheetFormatPr baseColWidth="10" defaultColWidth="8.83203125" defaultRowHeight="15" x14ac:dyDescent="0.2"/>
  <cols>
    <col min="1" max="1" width="1" customWidth="1"/>
    <col min="2" max="2" width="34.33203125" customWidth="1"/>
    <col min="3" max="8" width="19" customWidth="1"/>
    <col min="9" max="10" width="14.33203125" customWidth="1"/>
  </cols>
  <sheetData>
    <row r="2" spans="2:8" ht="35" customHeight="1" x14ac:dyDescent="0.3">
      <c r="B2" s="61" t="s">
        <v>210</v>
      </c>
      <c r="C2" s="52"/>
      <c r="D2" s="52"/>
      <c r="E2" s="52"/>
      <c r="F2" s="52"/>
      <c r="G2" s="52"/>
      <c r="H2" s="52"/>
    </row>
    <row r="4" spans="2:8" ht="25" customHeight="1" x14ac:dyDescent="0.2">
      <c r="B4" s="62" t="s">
        <v>211</v>
      </c>
      <c r="C4" s="52"/>
      <c r="D4" s="52"/>
      <c r="E4" s="52"/>
      <c r="F4" s="52"/>
      <c r="G4" s="52"/>
      <c r="H4" s="52"/>
    </row>
    <row r="5" spans="2:8" ht="25" customHeight="1" x14ac:dyDescent="0.2">
      <c r="B5" s="52"/>
      <c r="C5" s="52"/>
      <c r="D5" s="52"/>
      <c r="E5" s="52"/>
      <c r="F5" s="52"/>
      <c r="G5" s="52"/>
      <c r="H5" s="52"/>
    </row>
    <row r="6" spans="2:8" x14ac:dyDescent="0.2">
      <c r="B6" s="62" t="s">
        <v>212</v>
      </c>
      <c r="C6" s="52"/>
      <c r="D6" s="52"/>
      <c r="E6" s="52"/>
      <c r="F6" s="52"/>
      <c r="G6" s="52"/>
      <c r="H6" s="52"/>
    </row>
    <row r="7" spans="2:8" x14ac:dyDescent="0.2">
      <c r="B7" s="52"/>
      <c r="C7" s="52"/>
      <c r="D7" s="52"/>
      <c r="E7" s="52"/>
      <c r="F7" s="52"/>
      <c r="G7" s="52"/>
      <c r="H7" s="52"/>
    </row>
    <row r="9" spans="2:8" ht="16" x14ac:dyDescent="0.2">
      <c r="B9" s="63" t="s">
        <v>213</v>
      </c>
      <c r="C9" s="52"/>
      <c r="D9" s="52"/>
      <c r="E9" s="52"/>
      <c r="F9" s="52"/>
      <c r="G9" s="52"/>
      <c r="H9" s="52"/>
    </row>
    <row r="11" spans="2:8" x14ac:dyDescent="0.2">
      <c r="B11" s="43" t="s">
        <v>71</v>
      </c>
      <c r="C11" s="43" t="s">
        <v>214</v>
      </c>
      <c r="D11" s="43" t="s">
        <v>215</v>
      </c>
    </row>
    <row r="12" spans="2:8" x14ac:dyDescent="0.2">
      <c r="B12" t="s">
        <v>216</v>
      </c>
      <c r="C12" s="42"/>
      <c r="D12" t="s">
        <v>217</v>
      </c>
    </row>
    <row r="13" spans="2:8" x14ac:dyDescent="0.2">
      <c r="B13" t="s">
        <v>218</v>
      </c>
      <c r="C13" s="42"/>
      <c r="D13" t="s">
        <v>219</v>
      </c>
    </row>
    <row r="14" spans="2:8" x14ac:dyDescent="0.2">
      <c r="B14" t="s">
        <v>148</v>
      </c>
      <c r="C14" s="42"/>
      <c r="D14" t="s">
        <v>220</v>
      </c>
    </row>
    <row r="15" spans="2:8" x14ac:dyDescent="0.2">
      <c r="B15" t="s">
        <v>221</v>
      </c>
      <c r="C15" s="42"/>
      <c r="D15" t="s">
        <v>222</v>
      </c>
    </row>
    <row r="16" spans="2:8" x14ac:dyDescent="0.2">
      <c r="B16" s="39" t="s">
        <v>223</v>
      </c>
      <c r="C16" s="42"/>
      <c r="D16" t="s">
        <v>224</v>
      </c>
    </row>
    <row r="18" spans="2:8" ht="16" x14ac:dyDescent="0.2">
      <c r="B18" s="63" t="s">
        <v>225</v>
      </c>
      <c r="C18" s="52"/>
      <c r="D18" s="52"/>
      <c r="E18" s="52"/>
      <c r="F18" s="52"/>
      <c r="G18" s="52"/>
      <c r="H18" s="52"/>
    </row>
    <row r="20" spans="2:8" x14ac:dyDescent="0.2">
      <c r="B20" s="43" t="s">
        <v>226</v>
      </c>
      <c r="C20" s="43" t="s">
        <v>227</v>
      </c>
      <c r="D20" s="43" t="s">
        <v>228</v>
      </c>
      <c r="E20" s="43" t="s">
        <v>229</v>
      </c>
      <c r="F20" s="43" t="s">
        <v>230</v>
      </c>
      <c r="G20" s="43" t="s">
        <v>231</v>
      </c>
      <c r="H20" s="43" t="s">
        <v>232</v>
      </c>
    </row>
    <row r="21" spans="2:8" x14ac:dyDescent="0.2">
      <c r="B21" t="s">
        <v>233</v>
      </c>
      <c r="C21" s="19">
        <v>12</v>
      </c>
      <c r="D21" s="19">
        <v>18</v>
      </c>
      <c r="E21" s="30" t="str">
        <f>IF(OR(C21="",$C$13=""),"",C21*$C$13)</f>
        <v/>
      </c>
      <c r="F21" s="30" t="str">
        <f>IF(OR(D21="",$C$13=""),"",D21*$C$13)</f>
        <v/>
      </c>
      <c r="G21" s="9" t="str">
        <f t="shared" ref="G21:H23" si="0">IF(OR(E21="",$C$15="",$C$14=""),"",(E21-$C$15)/$C$14*1000)</f>
        <v/>
      </c>
      <c r="H21" s="9" t="str">
        <f t="shared" si="0"/>
        <v/>
      </c>
    </row>
    <row r="22" spans="2:8" x14ac:dyDescent="0.2">
      <c r="B22" t="s">
        <v>234</v>
      </c>
      <c r="C22" s="19">
        <v>10</v>
      </c>
      <c r="D22" s="19">
        <v>14</v>
      </c>
      <c r="E22" s="30" t="str">
        <f>IF(OR(C22="",$C$13=""),"",C22*$C$13)</f>
        <v/>
      </c>
      <c r="F22" s="30" t="str">
        <f>IF(OR(D22="",$C$13=""),"",D22*$C$13)</f>
        <v/>
      </c>
      <c r="G22" s="9" t="str">
        <f t="shared" si="0"/>
        <v/>
      </c>
      <c r="H22" s="9" t="str">
        <f t="shared" si="0"/>
        <v/>
      </c>
    </row>
    <row r="23" spans="2:8" x14ac:dyDescent="0.2">
      <c r="B23" t="s">
        <v>235</v>
      </c>
      <c r="C23" t="s">
        <v>236</v>
      </c>
      <c r="D23" t="s">
        <v>236</v>
      </c>
      <c r="E23" s="31"/>
      <c r="F23" s="31"/>
      <c r="G23" s="9" t="str">
        <f t="shared" si="0"/>
        <v/>
      </c>
      <c r="H23" s="9" t="str">
        <f t="shared" si="0"/>
        <v/>
      </c>
    </row>
    <row r="24" spans="2:8" x14ac:dyDescent="0.2">
      <c r="B24" t="s">
        <v>237</v>
      </c>
      <c r="C24" t="s">
        <v>236</v>
      </c>
      <c r="D24" t="s">
        <v>236</v>
      </c>
      <c r="E24" t="s">
        <v>236</v>
      </c>
      <c r="F24" t="s">
        <v>236</v>
      </c>
      <c r="G24" s="24"/>
      <c r="H24" s="24"/>
    </row>
    <row r="26" spans="2:8" ht="16" x14ac:dyDescent="0.2">
      <c r="B26" s="63" t="s">
        <v>238</v>
      </c>
      <c r="C26" s="52"/>
      <c r="D26" s="52"/>
      <c r="E26" s="52"/>
      <c r="F26" s="52"/>
      <c r="G26" s="52"/>
      <c r="H26" s="52"/>
    </row>
    <row r="28" spans="2:8" x14ac:dyDescent="0.2">
      <c r="B28" s="43" t="s">
        <v>226</v>
      </c>
      <c r="C28" s="43" t="s">
        <v>239</v>
      </c>
      <c r="D28" s="43" t="s">
        <v>240</v>
      </c>
    </row>
    <row r="29" spans="2:8" x14ac:dyDescent="0.2">
      <c r="B29" s="2" t="s">
        <v>241</v>
      </c>
      <c r="C29" s="32" t="str">
        <f t="shared" ref="C29:D32" si="1">G21</f>
        <v/>
      </c>
      <c r="D29" s="32" t="str">
        <f t="shared" si="1"/>
        <v/>
      </c>
    </row>
    <row r="30" spans="2:8" x14ac:dyDescent="0.2">
      <c r="B30" s="4" t="s">
        <v>242</v>
      </c>
      <c r="C30" s="33" t="str">
        <f t="shared" si="1"/>
        <v/>
      </c>
      <c r="D30" s="33" t="str">
        <f t="shared" si="1"/>
        <v/>
      </c>
    </row>
    <row r="31" spans="2:8" x14ac:dyDescent="0.2">
      <c r="B31" s="6" t="s">
        <v>235</v>
      </c>
      <c r="C31" s="34" t="str">
        <f t="shared" si="1"/>
        <v/>
      </c>
      <c r="D31" s="34" t="str">
        <f t="shared" si="1"/>
        <v/>
      </c>
    </row>
    <row r="32" spans="2:8" x14ac:dyDescent="0.2">
      <c r="B32" s="8" t="s">
        <v>243</v>
      </c>
      <c r="C32" s="35">
        <f t="shared" si="1"/>
        <v>0</v>
      </c>
      <c r="D32" s="35">
        <f t="shared" si="1"/>
        <v>0</v>
      </c>
    </row>
    <row r="33" spans="2:4" x14ac:dyDescent="0.2">
      <c r="B33" s="1" t="s">
        <v>244</v>
      </c>
      <c r="C33" s="36">
        <f>C16</f>
        <v>0</v>
      </c>
      <c r="D33" s="36">
        <f>C16</f>
        <v>0</v>
      </c>
    </row>
    <row r="57" spans="2:8" ht="16" x14ac:dyDescent="0.2">
      <c r="B57" s="63" t="s">
        <v>245</v>
      </c>
      <c r="C57" s="52"/>
      <c r="D57" s="52"/>
      <c r="E57" s="52"/>
      <c r="F57" s="52"/>
      <c r="G57" s="52"/>
      <c r="H57" s="52"/>
    </row>
    <row r="59" spans="2:8" x14ac:dyDescent="0.2">
      <c r="B59" s="43" t="s">
        <v>246</v>
      </c>
      <c r="C59" s="43" t="s">
        <v>239</v>
      </c>
      <c r="D59" s="43" t="s">
        <v>240</v>
      </c>
      <c r="E59" s="43" t="s">
        <v>247</v>
      </c>
    </row>
    <row r="60" spans="2:8" x14ac:dyDescent="0.2">
      <c r="B60" t="s">
        <v>248</v>
      </c>
      <c r="C60" s="25">
        <f>MIN(G21:G23)</f>
        <v>0</v>
      </c>
      <c r="D60" s="25">
        <f>MAX(H21:H23)</f>
        <v>0</v>
      </c>
      <c r="E60" s="25">
        <f>IF(OR(C60="",D60=""),"",(C60+D60)/2)</f>
        <v>0</v>
      </c>
    </row>
    <row r="61" spans="2:8" x14ac:dyDescent="0.2">
      <c r="B61" s="1" t="s">
        <v>223</v>
      </c>
      <c r="C61" s="25">
        <f>C16</f>
        <v>0</v>
      </c>
      <c r="D61" s="25">
        <f>C16</f>
        <v>0</v>
      </c>
      <c r="E61" s="25">
        <f>C16</f>
        <v>0</v>
      </c>
    </row>
    <row r="62" spans="2:8" x14ac:dyDescent="0.2">
      <c r="B62" s="39" t="s">
        <v>249</v>
      </c>
      <c r="C62" s="29" t="e">
        <f>IF(OR(C61="",E60=""),"",(C61-E60)/E60)</f>
        <v>#DIV/0!</v>
      </c>
      <c r="D62" s="1"/>
      <c r="E62" s="1"/>
    </row>
    <row r="64" spans="2:8" ht="16" x14ac:dyDescent="0.2">
      <c r="B64" s="63" t="s">
        <v>191</v>
      </c>
      <c r="C64" s="52"/>
      <c r="D64" s="52"/>
      <c r="E64" s="52"/>
      <c r="F64" s="52"/>
      <c r="G64" s="52"/>
      <c r="H64" s="52"/>
    </row>
    <row r="66" spans="2:8" x14ac:dyDescent="0.2">
      <c r="B66" s="55" t="s">
        <v>250</v>
      </c>
      <c r="C66" s="52"/>
      <c r="D66" s="52"/>
      <c r="E66" s="52"/>
      <c r="F66" s="52"/>
      <c r="G66" s="52"/>
      <c r="H66" s="52"/>
    </row>
    <row r="67" spans="2:8" ht="30" customHeight="1" x14ac:dyDescent="0.2">
      <c r="B67" s="65" t="s">
        <v>251</v>
      </c>
      <c r="C67" s="52"/>
      <c r="D67" s="52"/>
      <c r="E67" s="52"/>
      <c r="F67" s="52"/>
      <c r="G67" s="52"/>
      <c r="H67" s="52"/>
    </row>
    <row r="68" spans="2:8" ht="30" customHeight="1" x14ac:dyDescent="0.2">
      <c r="B68" s="52"/>
      <c r="C68" s="52"/>
      <c r="D68" s="52"/>
      <c r="E68" s="52"/>
      <c r="F68" s="52"/>
      <c r="G68" s="52"/>
      <c r="H68" s="52"/>
    </row>
    <row r="69" spans="2:8" x14ac:dyDescent="0.2">
      <c r="B69" s="52"/>
      <c r="C69" s="52"/>
      <c r="D69" s="52"/>
      <c r="E69" s="52"/>
      <c r="F69" s="52"/>
      <c r="G69" s="52"/>
      <c r="H69" s="52"/>
    </row>
    <row r="71" spans="2:8" ht="30" customHeight="1" x14ac:dyDescent="0.2">
      <c r="B71" s="55" t="s">
        <v>252</v>
      </c>
      <c r="C71" s="52"/>
      <c r="D71" s="52"/>
      <c r="E71" s="52"/>
      <c r="F71" s="52"/>
      <c r="G71" s="52"/>
      <c r="H71" s="52"/>
    </row>
    <row r="72" spans="2:8" ht="30" customHeight="1" x14ac:dyDescent="0.2">
      <c r="B72" s="65" t="s">
        <v>253</v>
      </c>
      <c r="C72" s="52"/>
      <c r="D72" s="52"/>
      <c r="E72" s="52"/>
      <c r="F72" s="52"/>
      <c r="G72" s="52"/>
      <c r="H72" s="52"/>
    </row>
    <row r="73" spans="2:8" x14ac:dyDescent="0.2">
      <c r="B73" s="52"/>
      <c r="C73" s="52"/>
      <c r="D73" s="52"/>
      <c r="E73" s="52"/>
      <c r="F73" s="52"/>
      <c r="G73" s="52"/>
      <c r="H73" s="52"/>
    </row>
    <row r="74" spans="2:8" x14ac:dyDescent="0.2">
      <c r="B74" s="52"/>
      <c r="C74" s="52"/>
      <c r="D74" s="52"/>
      <c r="E74" s="52"/>
      <c r="F74" s="52"/>
      <c r="G74" s="52"/>
      <c r="H74" s="52"/>
    </row>
    <row r="75" spans="2:8" ht="30" customHeight="1" x14ac:dyDescent="0.2"/>
    <row r="76" spans="2:8" ht="30" customHeight="1" x14ac:dyDescent="0.2">
      <c r="B76" s="59" t="s">
        <v>254</v>
      </c>
      <c r="C76" s="52"/>
      <c r="D76" s="52"/>
      <c r="E76" s="52"/>
      <c r="F76" s="52"/>
      <c r="G76" s="52"/>
      <c r="H76" s="52"/>
    </row>
    <row r="77" spans="2:8" x14ac:dyDescent="0.2">
      <c r="B77" s="52"/>
      <c r="C77" s="52"/>
      <c r="D77" s="52"/>
      <c r="E77" s="52"/>
      <c r="F77" s="52"/>
      <c r="G77" s="52"/>
      <c r="H77" s="52"/>
    </row>
    <row r="78" spans="2:8" x14ac:dyDescent="0.2">
      <c r="B78" s="52"/>
      <c r="C78" s="52"/>
      <c r="D78" s="52"/>
      <c r="E78" s="52"/>
      <c r="F78" s="52"/>
      <c r="G78" s="52"/>
      <c r="H78" s="52"/>
    </row>
  </sheetData>
  <mergeCells count="13">
    <mergeCell ref="B2:H2"/>
    <mergeCell ref="B4:H5"/>
    <mergeCell ref="B6:H7"/>
    <mergeCell ref="B9:H9"/>
    <mergeCell ref="B18:H18"/>
    <mergeCell ref="B71:H71"/>
    <mergeCell ref="B72:H74"/>
    <mergeCell ref="B76:H78"/>
    <mergeCell ref="B26:H26"/>
    <mergeCell ref="B57:H57"/>
    <mergeCell ref="B64:H64"/>
    <mergeCell ref="B66:H66"/>
    <mergeCell ref="B67:H6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ECF12-EBD1-4697-890C-BEC9269A0B5E}">
  <sheetPr>
    <tabColor rgb="FF607D8B"/>
  </sheetPr>
  <dimension ref="B2:F36"/>
  <sheetViews>
    <sheetView topLeftCell="A14" workbookViewId="0">
      <selection activeCell="C18" sqref="C18:D18"/>
    </sheetView>
  </sheetViews>
  <sheetFormatPr baseColWidth="10" defaultColWidth="8.83203125" defaultRowHeight="15" x14ac:dyDescent="0.2"/>
  <cols>
    <col min="1" max="1" width="1" customWidth="1"/>
    <col min="2" max="2" width="34.33203125" customWidth="1"/>
    <col min="3" max="3" width="19" customWidth="1"/>
    <col min="4" max="4" width="38.1640625" customWidth="1"/>
  </cols>
  <sheetData>
    <row r="2" spans="2:6" ht="30" customHeight="1" x14ac:dyDescent="0.25">
      <c r="B2" s="67" t="s">
        <v>255</v>
      </c>
      <c r="C2" s="52"/>
      <c r="D2" s="52"/>
      <c r="E2" s="52"/>
      <c r="F2" s="52"/>
    </row>
    <row r="4" spans="2:6" ht="16" x14ac:dyDescent="0.2">
      <c r="B4" s="63" t="s">
        <v>256</v>
      </c>
      <c r="C4" s="52"/>
      <c r="D4" s="52"/>
    </row>
    <row r="6" spans="2:6" x14ac:dyDescent="0.2">
      <c r="B6" s="39" t="s">
        <v>257</v>
      </c>
      <c r="C6" s="39" t="s">
        <v>258</v>
      </c>
      <c r="D6" s="39" t="s">
        <v>259</v>
      </c>
    </row>
    <row r="7" spans="2:6" x14ac:dyDescent="0.2">
      <c r="B7" t="s">
        <v>260</v>
      </c>
      <c r="C7" s="37"/>
      <c r="D7" t="s">
        <v>261</v>
      </c>
    </row>
    <row r="8" spans="2:6" x14ac:dyDescent="0.2">
      <c r="B8" t="s">
        <v>262</v>
      </c>
      <c r="C8" s="42"/>
      <c r="D8" t="s">
        <v>263</v>
      </c>
    </row>
    <row r="9" spans="2:6" x14ac:dyDescent="0.2">
      <c r="B9" t="s">
        <v>264</v>
      </c>
      <c r="C9" s="5"/>
      <c r="D9" t="s">
        <v>265</v>
      </c>
    </row>
    <row r="10" spans="2:6" x14ac:dyDescent="0.2">
      <c r="B10" t="s">
        <v>266</v>
      </c>
      <c r="C10" s="8"/>
      <c r="D10" t="s">
        <v>267</v>
      </c>
    </row>
    <row r="11" spans="2:6" x14ac:dyDescent="0.2">
      <c r="B11" t="s">
        <v>268</v>
      </c>
      <c r="C11" s="4"/>
      <c r="D11" t="s">
        <v>269</v>
      </c>
    </row>
    <row r="12" spans="2:6" x14ac:dyDescent="0.2">
      <c r="B12" t="s">
        <v>270</v>
      </c>
      <c r="C12" s="7"/>
      <c r="D12" t="s">
        <v>271</v>
      </c>
    </row>
    <row r="14" spans="2:6" ht="16" x14ac:dyDescent="0.2">
      <c r="B14" s="63" t="s">
        <v>272</v>
      </c>
      <c r="C14" s="52"/>
      <c r="D14" s="52"/>
    </row>
    <row r="16" spans="2:6" x14ac:dyDescent="0.2">
      <c r="B16" s="39" t="s">
        <v>273</v>
      </c>
      <c r="C16" s="55" t="s">
        <v>274</v>
      </c>
      <c r="D16" s="55"/>
    </row>
    <row r="17" spans="2:4" x14ac:dyDescent="0.2">
      <c r="B17" s="39" t="s">
        <v>275</v>
      </c>
      <c r="C17" s="52" t="s">
        <v>276</v>
      </c>
      <c r="D17" s="52"/>
    </row>
    <row r="18" spans="2:4" x14ac:dyDescent="0.2">
      <c r="B18" s="38" t="s">
        <v>277</v>
      </c>
      <c r="C18" s="58" t="s">
        <v>278</v>
      </c>
      <c r="D18" s="58"/>
    </row>
    <row r="19" spans="2:4" x14ac:dyDescent="0.2">
      <c r="B19" s="39" t="s">
        <v>21</v>
      </c>
      <c r="C19" s="52" t="s">
        <v>279</v>
      </c>
      <c r="D19" s="52"/>
    </row>
    <row r="20" spans="2:4" x14ac:dyDescent="0.2">
      <c r="B20" s="38" t="s">
        <v>280</v>
      </c>
      <c r="C20" s="58" t="s">
        <v>281</v>
      </c>
      <c r="D20" s="58"/>
    </row>
    <row r="21" spans="2:4" x14ac:dyDescent="0.2">
      <c r="B21" s="39" t="s">
        <v>282</v>
      </c>
      <c r="C21" s="52" t="s">
        <v>283</v>
      </c>
      <c r="D21" s="52"/>
    </row>
    <row r="22" spans="2:4" x14ac:dyDescent="0.2">
      <c r="B22" s="38" t="s">
        <v>284</v>
      </c>
      <c r="C22" s="58" t="s">
        <v>285</v>
      </c>
      <c r="D22" s="58"/>
    </row>
    <row r="23" spans="2:4" x14ac:dyDescent="0.2">
      <c r="B23" s="39" t="s">
        <v>286</v>
      </c>
      <c r="C23" s="52" t="s">
        <v>287</v>
      </c>
      <c r="D23" s="52"/>
    </row>
    <row r="24" spans="2:4" x14ac:dyDescent="0.2">
      <c r="B24" s="38" t="s">
        <v>241</v>
      </c>
      <c r="C24" s="58" t="s">
        <v>288</v>
      </c>
      <c r="D24" s="58"/>
    </row>
    <row r="25" spans="2:4" x14ac:dyDescent="0.2">
      <c r="B25" s="39" t="s">
        <v>242</v>
      </c>
      <c r="C25" s="52" t="s">
        <v>289</v>
      </c>
      <c r="D25" s="52"/>
    </row>
    <row r="26" spans="2:4" x14ac:dyDescent="0.2">
      <c r="B26" s="38" t="s">
        <v>290</v>
      </c>
      <c r="C26" s="58" t="s">
        <v>291</v>
      </c>
      <c r="D26" s="58"/>
    </row>
    <row r="27" spans="2:4" x14ac:dyDescent="0.2">
      <c r="B27" s="39" t="s">
        <v>292</v>
      </c>
      <c r="C27" s="52" t="s">
        <v>293</v>
      </c>
      <c r="D27" s="52"/>
    </row>
    <row r="28" spans="2:4" x14ac:dyDescent="0.2">
      <c r="B28" s="38" t="s">
        <v>294</v>
      </c>
      <c r="C28" s="58" t="s">
        <v>295</v>
      </c>
      <c r="D28" s="58"/>
    </row>
    <row r="30" spans="2:4" ht="16" x14ac:dyDescent="0.2">
      <c r="B30" s="63" t="s">
        <v>296</v>
      </c>
      <c r="C30" s="52"/>
      <c r="D30" s="52"/>
    </row>
    <row r="32" spans="2:4" x14ac:dyDescent="0.2">
      <c r="B32" s="39" t="s">
        <v>29</v>
      </c>
      <c r="C32" s="52" t="s">
        <v>297</v>
      </c>
      <c r="D32" s="52"/>
    </row>
    <row r="33" spans="2:4" x14ac:dyDescent="0.2">
      <c r="B33" s="39" t="s">
        <v>32</v>
      </c>
      <c r="C33" s="52" t="s">
        <v>298</v>
      </c>
      <c r="D33" s="52"/>
    </row>
    <row r="34" spans="2:4" x14ac:dyDescent="0.2">
      <c r="B34" s="39" t="s">
        <v>35</v>
      </c>
      <c r="C34" s="52" t="s">
        <v>299</v>
      </c>
      <c r="D34" s="52"/>
    </row>
    <row r="35" spans="2:4" x14ac:dyDescent="0.2">
      <c r="B35" s="39" t="s">
        <v>300</v>
      </c>
      <c r="C35" s="52" t="s">
        <v>301</v>
      </c>
      <c r="D35" s="52"/>
    </row>
    <row r="36" spans="2:4" x14ac:dyDescent="0.2">
      <c r="B36" s="39" t="s">
        <v>41</v>
      </c>
      <c r="C36" s="52" t="s">
        <v>302</v>
      </c>
      <c r="D36" s="52"/>
    </row>
  </sheetData>
  <mergeCells count="22">
    <mergeCell ref="C32:D32"/>
    <mergeCell ref="C33:D33"/>
    <mergeCell ref="C34:D34"/>
    <mergeCell ref="C35:D35"/>
    <mergeCell ref="C36:D36"/>
    <mergeCell ref="C25:D25"/>
    <mergeCell ref="C26:D26"/>
    <mergeCell ref="C27:D27"/>
    <mergeCell ref="C28:D28"/>
    <mergeCell ref="B30:D30"/>
    <mergeCell ref="B4:D4"/>
    <mergeCell ref="B2:F2"/>
    <mergeCell ref="B14:D14"/>
    <mergeCell ref="C16:D16"/>
    <mergeCell ref="C17:D17"/>
    <mergeCell ref="C23:D23"/>
    <mergeCell ref="C24:D24"/>
    <mergeCell ref="C18:D18"/>
    <mergeCell ref="C19:D19"/>
    <mergeCell ref="C20:D20"/>
    <mergeCell ref="C21:D21"/>
    <mergeCell ref="C22:D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Deal Overview</vt:lpstr>
      <vt:lpstr>2. Transaction Comps</vt:lpstr>
      <vt:lpstr>3. Synergy Analysis (can be ski</vt:lpstr>
      <vt:lpstr>4. Accretion-Dilution</vt:lpstr>
      <vt:lpstr>5. Football Field</vt:lpstr>
      <vt:lpstr>Style Guide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Teresa Maravilla</dc:creator>
  <cp:keywords/>
  <dc:description/>
  <cp:lastModifiedBy>Tariro Muchineripi</cp:lastModifiedBy>
  <cp:revision/>
  <dcterms:created xsi:type="dcterms:W3CDTF">2026-05-24T13:04:14Z</dcterms:created>
  <dcterms:modified xsi:type="dcterms:W3CDTF">2026-07-06T14:15:24Z</dcterms:modified>
  <cp:category/>
  <cp:contentStatus/>
</cp:coreProperties>
</file>